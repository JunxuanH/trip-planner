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tinerary" sheetId="2" r:id="rId6"/>
    <sheet state="visible" name="Hotels" sheetId="3" r:id="rId7"/>
    <sheet state="visible" name="Budget" sheetId="4" r:id="rId8"/>
    <sheet state="visible" name="Drivers" sheetId="5" r:id="rId9"/>
    <sheet state="visible" name="Opera &amp; Bookings" sheetId="6" r:id="rId10"/>
    <sheet state="visible" name="Photographers" sheetId="7" r:id="rId11"/>
  </sheets>
  <definedNames/>
  <calcPr/>
</workbook>
</file>

<file path=xl/sharedStrings.xml><?xml version="1.0" encoding="utf-8"?>
<sst xmlns="http://schemas.openxmlformats.org/spreadsheetml/2006/main" count="598" uniqueCount="433">
  <si>
    <t>ITALY 2026 PLAN</t>
  </si>
  <si>
    <t>Travelers</t>
  </si>
  <si>
    <t>Category</t>
  </si>
  <si>
    <t>City</t>
  </si>
  <si>
    <t>2</t>
  </si>
  <si>
    <t>On-ground window</t>
  </si>
  <si>
    <t>Mon Aug 24 - Sun Sep 6, 2026 (13 nights)</t>
  </si>
  <si>
    <t>Arrival</t>
  </si>
  <si>
    <t>FCO Mon Aug 24, 11:50am (ITA Airways from IAH)</t>
  </si>
  <si>
    <t>Departure</t>
  </si>
  <si>
    <t>Day</t>
  </si>
  <si>
    <t>FCO Sun Sep 6, 10:20am</t>
  </si>
  <si>
    <t>Route</t>
  </si>
  <si>
    <t>Hotel Trame/Rome (3) -&gt; Florence (2) -&gt; Amalfi (3) -&gt; Naples (1) -&gt; Rome finale (1)</t>
  </si>
  <si>
    <t>Date</t>
  </si>
  <si>
    <t>Transport</t>
  </si>
  <si>
    <t>Hotel</t>
  </si>
  <si>
    <t>Chinese driver-guides + Frecciarossa Florence-&gt;Naples, Naples-&gt;Rome</t>
  </si>
  <si>
    <t>Chain story</t>
  </si>
  <si>
    <t>Time</t>
  </si>
  <si>
    <t>Brand / Program</t>
  </si>
  <si>
    <t>Hotel Trame (Rome) -&gt; Hyatt-SLH (Tuscany) -&gt; Casa G. Firenze (Florence) -&gt; Minor/GHA (Amalfi) -&gt; Hilton Curio (Naples) -&gt; Marriott (Rome finale)</t>
  </si>
  <si>
    <t>HOW TO READ THIS WORKBOOK</t>
  </si>
  <si>
    <t>Activity / Plan</t>
  </si>
  <si>
    <t>Estimate (USD)</t>
  </si>
  <si>
    <t>Itinerary tab</t>
  </si>
  <si>
    <t>Getting there</t>
  </si>
  <si>
    <t>Hour-by-hour plan. 'Getting there' = how to travel between stops; 'Link' opens tickets/reservations.</t>
  </si>
  <si>
    <t>Notes</t>
  </si>
  <si>
    <t>Link</t>
  </si>
  <si>
    <t>Hotels tab</t>
  </si>
  <si>
    <t>Check-in</t>
  </si>
  <si>
    <t>5 locked hotels with Expedia booking links.</t>
  </si>
  <si>
    <t>Budget tab</t>
  </si>
  <si>
    <t>Lodging (6 hotels, 13 nights)</t>
  </si>
  <si>
    <t>1</t>
  </si>
  <si>
    <t>Check-out</t>
  </si>
  <si>
    <t>Estimated costs and totals.</t>
  </si>
  <si>
    <t>Drivers tab</t>
  </si>
  <si>
    <t>Paste-ready Chinese driver-guide brief + quote links.</t>
  </si>
  <si>
    <t>Nights</t>
  </si>
  <si>
    <t>Opera &amp; Bookings tab</t>
  </si>
  <si>
    <t>What to reserve, in order, with ticket links.</t>
  </si>
  <si>
    <t>Est. nightly (USD)</t>
  </si>
  <si>
    <t>QUICK BOOKING PORTALS</t>
  </si>
  <si>
    <t>Est. total (USD)</t>
  </si>
  <si>
    <t>Hotels - Trip.com</t>
  </si>
  <si>
    <t>Book (Trip.com)</t>
  </si>
  <si>
    <t>https://us.trip.com/hotels/</t>
  </si>
  <si>
    <t>Rome</t>
  </si>
  <si>
    <t>Hotel Trame</t>
  </si>
  <si>
    <t>Mon Aug 24</t>
  </si>
  <si>
    <t>Independent boutique</t>
  </si>
  <si>
    <t>Hotel Trame Rome est.; Velona/Convento=actual quotes</t>
  </si>
  <si>
    <t>Thu Aug 27</t>
  </si>
  <si>
    <t>ROME — Hotel Trame (nr Pantheon / Campo de' Fiori)</t>
  </si>
  <si>
    <t>Drivers + 2x Frecciarossa (Florence-&gt;Naples, Naples-&gt;Rome) + ZTL fees</t>
  </si>
  <si>
    <t>Excursions &amp; guides</t>
  </si>
  <si>
    <t>Trip.com -&gt;</t>
  </si>
  <si>
    <t>Vatican, Colosseum, Capri boat, Pompeii, wineries, Florence galleries, operas</t>
  </si>
  <si>
    <t>Food &amp; wine</t>
  </si>
  <si>
    <t>~$185/day for 2 (outside hotel-included meals)</t>
  </si>
  <si>
    <t>Buffer / gratuities</t>
  </si>
  <si>
    <t>Taxis, tips, Naples street food, incidentals</t>
  </si>
  <si>
    <t>TOTAL</t>
  </si>
  <si>
    <t>11:50am</t>
  </si>
  <si>
    <t>Trains - Trenitalia (Frecciarossa)</t>
  </si>
  <si>
    <t>https://www.trenitalia.com/en.html</t>
  </si>
  <si>
    <t>Land FCO; immigration + bags (~45 min)</t>
  </si>
  <si>
    <t>Cash, before points</t>
  </si>
  <si>
    <t>Arrive by air (ITA from IAH)</t>
  </si>
  <si>
    <t>12:45pm</t>
  </si>
  <si>
    <t>Tuscany</t>
  </si>
  <si>
    <t>Private FCO pickup -&gt; Hotel Trame</t>
  </si>
  <si>
    <t>Castello di Velona</t>
  </si>
  <si>
    <t>Tours/museums - GetYourGuide</t>
  </si>
  <si>
    <t>SLH / World of Hyatt</t>
  </si>
  <si>
    <t>Sun Aug 30</t>
  </si>
  <si>
    <t>https://www.getyourguide.com/</t>
  </si>
  <si>
    <t>Pre-booked private car, ~45 min</t>
  </si>
  <si>
    <t>2:00pm</t>
  </si>
  <si>
    <t>Check in — former Franciscan monastery, Campo de' Fiori area</t>
  </si>
  <si>
    <t>3:00pm</t>
  </si>
  <si>
    <t>Opera tickets - OperaTicketsItaly</t>
  </si>
  <si>
    <t>https://operaticketsitaly.com/</t>
  </si>
  <si>
    <t>Stroll: Pantheon (~8 min walk) -&gt; Piazza Navona -&gt; Campo de' Fiori</t>
  </si>
  <si>
    <t>Florence</t>
  </si>
  <si>
    <t>Casa G. Firenze</t>
  </si>
  <si>
    <t>Independent / Michelin Guide</t>
  </si>
  <si>
    <t>On foot</t>
  </si>
  <si>
    <t>Tue Sep 1</t>
  </si>
  <si>
    <t>6:00pm</t>
  </si>
  <si>
    <t>Rest / nap to beat jet lag</t>
  </si>
  <si>
    <t>At hotel</t>
  </si>
  <si>
    <t>Chinese driver-guide - RomaTaxi</t>
  </si>
  <si>
    <t>https://romataxi.cn/</t>
  </si>
  <si>
    <t>7:30pm</t>
  </si>
  <si>
    <t>Aperitivo: Etabli (Campo de' Fiori) or Campari Bar</t>
  </si>
  <si>
    <t>Walk ~4 min</t>
  </si>
  <si>
    <t>Amalfi Coast</t>
  </si>
  <si>
    <t>Anantara Convento di Amalfi</t>
  </si>
  <si>
    <t>Minor / GHA Discovery</t>
  </si>
  <si>
    <t>Chinese driver-guide - Ctrip charter</t>
  </si>
  <si>
    <t>Fri Sep 4</t>
  </si>
  <si>
    <t>https://car.ctrip.com/idayweb</t>
  </si>
  <si>
    <t>8:45pm</t>
  </si>
  <si>
    <t>Dinner: Armando al Pantheon (book 3-4 wks out)</t>
  </si>
  <si>
    <t>Walk ~8 min</t>
  </si>
  <si>
    <t>Reserve -&gt;</t>
  </si>
  <si>
    <t>Naples</t>
  </si>
  <si>
    <t>De Bonart Naples (Curio Collection)</t>
  </si>
  <si>
    <t>Hilton Honors</t>
  </si>
  <si>
    <t>Sat Sep 5</t>
  </si>
  <si>
    <t>Tue Aug 25</t>
  </si>
  <si>
    <t>ROME — Vatican</t>
  </si>
  <si>
    <t>7:45am</t>
  </si>
  <si>
    <t>Rome (finale)</t>
  </si>
  <si>
    <t>The Edition</t>
  </si>
  <si>
    <t>Vatican Early-Entry private tour (Sistine near-empty)</t>
  </si>
  <si>
    <t>Taxi ~15 min to Vatican</t>
  </si>
  <si>
    <t>Marriott Bonvoy</t>
  </si>
  <si>
    <t>Sun Sep 6</t>
  </si>
  <si>
    <t>Tickets -&gt;</t>
  </si>
  <si>
    <t>1:00pm</t>
  </si>
  <si>
    <t>Lunch: Da Romolo / Hostaria Dino e Tony</t>
  </si>
  <si>
    <t>Walk from Vatican</t>
  </si>
  <si>
    <t>2:30pm</t>
  </si>
  <si>
    <t>Rest (peak heat)</t>
  </si>
  <si>
    <t>Taxi back to hotel</t>
  </si>
  <si>
    <t>5:00pm</t>
  </si>
  <si>
    <t>Castel Sant'Angelo + sunset on Ponte Sant'Angelo</t>
  </si>
  <si>
    <t>Taxi ~10 min</t>
  </si>
  <si>
    <t>Aperitivo: rooftop bar near Campo de' Fiori</t>
  </si>
  <si>
    <t>Walk</t>
  </si>
  <si>
    <t>8:30pm</t>
  </si>
  <si>
    <t>OPERA: arias at All Saints' Anglican Church (confirm Aug 25)</t>
  </si>
  <si>
    <t>Taxi ~15 min (Via del Babuino)</t>
  </si>
  <si>
    <t>https://www.tuscanyhorsetrail.com/events/daily_excursions/</t>
  </si>
  <si>
    <t>10:00pm</t>
  </si>
  <si>
    <t>Dinner: Pierluigi (seafood, Piazza de' Ricci)</t>
  </si>
  <si>
    <t>Service</t>
  </si>
  <si>
    <t>Walk ~6 min</t>
  </si>
  <si>
    <t>Approx hours</t>
  </si>
  <si>
    <t>Quote link</t>
  </si>
  <si>
    <t>Aug 24</t>
  </si>
  <si>
    <t>Airport pickup</t>
  </si>
  <si>
    <t>FCO -&gt; Hotel Trame, Rome (Campo de' Fiori / Pantheon area)</t>
  </si>
  <si>
    <t>~45 min</t>
  </si>
  <si>
    <t>Quote -&gt;</t>
  </si>
  <si>
    <t>Item</t>
  </si>
  <si>
    <t>3</t>
  </si>
  <si>
    <t>Status / Detail</t>
  </si>
  <si>
    <t>Wed Aug 26</t>
  </si>
  <si>
    <t>ROME — Ancient Rome</t>
  </si>
  <si>
    <t>Aug 27</t>
  </si>
  <si>
    <t>OPERA / MUSIC (verified June 2026)</t>
  </si>
  <si>
    <t>Transfer + guide</t>
  </si>
  <si>
    <t>Rome -&gt; Orvieto lunch stop -&gt; Castello di Velona, Tuscany</t>
  </si>
  <si>
    <t>~4.5 hrs</t>
  </si>
  <si>
    <t>Aug 28</t>
  </si>
  <si>
    <t>Full-day</t>
  </si>
  <si>
    <t>Velona -&gt; Montalcino wineries -&gt; back</t>
  </si>
  <si>
    <t>~9 hrs</t>
  </si>
  <si>
    <t>Rome — All Saints' Anglican Church</t>
  </si>
  <si>
    <t>8:45am</t>
  </si>
  <si>
    <t>Aug 29</t>
  </si>
  <si>
    <t>Active venue (Three Tenors/Traviata/Vivaldi); Aug 25 program not yet posted (Jun 2026) — check ~6-8 wks out</t>
  </si>
  <si>
    <t>Colosseum + Arena Floor + Forum + Palatine guided</t>
  </si>
  <si>
    <t>Open -&gt;</t>
  </si>
  <si>
    <t>Velona -&gt; Val d'Orcia (Pienza, Montepulciano, Bagno Vignoni) -&gt; back</t>
  </si>
  <si>
    <t>Taxi ~12 min</t>
  </si>
  <si>
    <t>Aug 30</t>
  </si>
  <si>
    <t>Transfer</t>
  </si>
  <si>
    <t>Velona -&gt; Casa G. Firenze, Florence (~1.5 hrs)</t>
  </si>
  <si>
    <t>~2 hrs</t>
  </si>
  <si>
    <t>Sep 1</t>
  </si>
  <si>
    <t>Train</t>
  </si>
  <si>
    <t>Frecciarossa Florence SMN -&gt; Napoli Centrale</t>
  </si>
  <si>
    <t>~3 hrs</t>
  </si>
  <si>
    <t>Trenitalia -&gt;</t>
  </si>
  <si>
    <t>Rome — Caracalla/Circo Massimo opera</t>
  </si>
  <si>
    <t>RULED OUT — 2026 season only Jun 29-Jul 31</t>
  </si>
  <si>
    <t>Amalfi — Ravello Festival</t>
  </si>
  <si>
    <t>Festival runs Jul 4-Sep 5 2026. CONFIRMED Aug 29 = Mahler Youth Orch./Jordan (now in Tuscany). New Amalfi stay is Sep 1-4 — check Sep 3 program at ravellofestival.com</t>
  </si>
  <si>
    <t>Naples station -&gt; Pompeii (2-hr guided visit) -&gt; Amalfi corniche</t>
  </si>
  <si>
    <t>~4 hrs</t>
  </si>
  <si>
    <t>Lunch: Roscioli (carbonara / cacio e pepe)</t>
  </si>
  <si>
    <t>Sep 3</t>
  </si>
  <si>
    <t>Half-day</t>
  </si>
  <si>
    <t>Anantara Convento -&gt; Ravello (eve concert) -&gt; back</t>
  </si>
  <si>
    <t>Walk ~5 min (via Campo de' Fiori)</t>
  </si>
  <si>
    <t>~5 hrs</t>
  </si>
  <si>
    <t>Sep 4</t>
  </si>
  <si>
    <t>Anantara Convento -&gt; De Bonart Naples, Naples</t>
  </si>
  <si>
    <t>Florence — St. Mark's Anglican Church</t>
  </si>
  <si>
    <t>~1.5 hrs</t>
  </si>
  <si>
    <t>La Traviata runs frequently; Sep 3/4 dates not yet posted (Jun 2026) — check/buy</t>
  </si>
  <si>
    <t>Sep 5</t>
  </si>
  <si>
    <t>Frecciarossa Napoli Centrale -&gt; Roma Termini</t>
  </si>
  <si>
    <t>~1h15</t>
  </si>
  <si>
    <t>Short transfer</t>
  </si>
  <si>
    <t>Roma Termini -&gt; The St. Regis Rome</t>
  </si>
  <si>
    <t>~5 min</t>
  </si>
  <si>
    <t>Sep 6</t>
  </si>
  <si>
    <t>Airport transfer</t>
  </si>
  <si>
    <t>The St. Regis Rome -&gt; FCO</t>
  </si>
  <si>
    <t>~40 min</t>
  </si>
  <si>
    <t>Siesta</t>
  </si>
  <si>
    <t>Also quote: Ctrip charter + 华人驿站. Itemize daily rate, ZTL fees (Rome ~EUR350-450, Florence ~EUR200), tolls, parking, driver meals, vehicle class, Chinese driver-guide confirmed.</t>
  </si>
  <si>
    <t>Ctrip -&gt;</t>
  </si>
  <si>
    <t>MARQUEE option — Arena di Verona</t>
  </si>
  <si>
    <t>Aida (Zeffirelli) Sep 4 &amp; 10; needs Verona overnight</t>
  </si>
  <si>
    <t>Trastevere evening walk — Piazza Santa Maria in Trastevere</t>
  </si>
  <si>
    <t>Walk across the Tiber ~12 min</t>
  </si>
  <si>
    <t>7:00pm</t>
  </si>
  <si>
    <t>Optional: Galleria Borghese (timed entry, book ahead)</t>
  </si>
  <si>
    <t>Taxi ~20 min</t>
  </si>
  <si>
    <t>BOOKING ORDER (late-Aug sells out)</t>
  </si>
  <si>
    <t>1. Anantara Convento (Amalfi) + Castello di Velona (Tuscany)</t>
  </si>
  <si>
    <t>Book first — sell out fastest</t>
  </si>
  <si>
    <t>2. Nomos Hotel Rome, Casa G. Firenze, De Bonart Naples Naples, St. Regis Rome</t>
  </si>
  <si>
    <t>Book next</t>
  </si>
  <si>
    <t>3. Capri private boat (Lucibello) + driver-guide days</t>
  </si>
  <si>
    <t>Aug 27 &amp; Aug 30 transfers first</t>
  </si>
  <si>
    <t>9:00pm</t>
  </si>
  <si>
    <t>Dinner: Da Enzo al 29 (Trastevere)</t>
  </si>
  <si>
    <t>Walk ~12 min</t>
  </si>
  <si>
    <t>4. Vatican, Colosseum, Uffizi, Accademia, Galleria Borghese</t>
  </si>
  <si>
    <t>Timed-entry tours</t>
  </si>
  <si>
    <t>4</t>
  </si>
  <si>
    <t>ROME -&gt; TUSCANY — Castello di Velona</t>
  </si>
  <si>
    <t>5. Opera tickets + headliner dinners</t>
  </si>
  <si>
    <t>Armando, Roscioli, Sostanza, Lo Scoglio, Passignano</t>
  </si>
  <si>
    <t>9:30am</t>
  </si>
  <si>
    <t>Driver-guide pickup; transfer north to Val d'Orcia</t>
  </si>
  <si>
    <t>Private Chinese driver-guide ~2.5 hrs</t>
  </si>
  <si>
    <t>12:30pm</t>
  </si>
  <si>
    <t>6. Frecciarossa Sep 5</t>
  </si>
  <si>
    <t>Set reminder ~early May 2026</t>
  </si>
  <si>
    <t>Lunch stop: Orvieto (hilltop Umbrian town, cathedral)</t>
  </si>
  <si>
    <t>Off the A1 autostrada</t>
  </si>
  <si>
    <t>3:30pm</t>
  </si>
  <si>
    <t>Continue to Montalcino/Velona area</t>
  </si>
  <si>
    <t>~1.5 hrs from Orvieto</t>
  </si>
  <si>
    <t>Check in Castello di Velona — hilltop castle + thermal spa + winery</t>
  </si>
  <si>
    <t>By car to the castle</t>
  </si>
  <si>
    <t>Aperitivo with estate Brunello at sunset over Val d'Orcia</t>
  </si>
  <si>
    <t>At the castle</t>
  </si>
  <si>
    <t>Dinner: Settimo Senso roof restaurant</t>
  </si>
  <si>
    <t>5</t>
  </si>
  <si>
    <t>Fri Aug 28</t>
  </si>
  <si>
    <t>TUSCANY — Brunello wine day</t>
  </si>
  <si>
    <t>Driver-guide to Montalcino (~30 min)</t>
  </si>
  <si>
    <t>Private driver</t>
  </si>
  <si>
    <t>11:00am</t>
  </si>
  <si>
    <t>Winery #1: Castello Banfi / Poggio Antico — tour + tasting</t>
  </si>
  <si>
    <t>Driver between estates</t>
  </si>
  <si>
    <t>Visit -&gt;</t>
  </si>
  <si>
    <t>Location</t>
  </si>
  <si>
    <t>Recommended platform</t>
  </si>
  <si>
    <t>Best spots &amp; timing</t>
  </si>
  <si>
    <t>1:30pm</t>
  </si>
  <si>
    <t>Chinese-speaking route (小红书)</t>
  </si>
  <si>
    <t>Est. price</t>
  </si>
  <si>
    <t>Book link</t>
  </si>
  <si>
    <t>Winery lunch w/ paired Brunello</t>
  </si>
  <si>
    <t>At the winery</t>
  </si>
  <si>
    <t>Rome (Days 1-3)</t>
  </si>
  <si>
    <t>Flytographer Rome / Localgrapher Rome</t>
  </si>
  <si>
    <t>Winery #2: Casanova di Neri / Il Marroneto (boutique)</t>
  </si>
  <si>
    <t>Pincio terrace &amp; Villa Borghese (sunset); Colosseum &amp; Trevi at dawn (empty); Spanish Steps</t>
  </si>
  <si>
    <t>Short drive</t>
  </si>
  <si>
    <t>小红书: 罗马旅拍</t>
  </si>
  <si>
    <t>5:30pm</t>
  </si>
  <si>
    <t>Montalcino fortress wine bar (Enoteca La Fortezza)</t>
  </si>
  <si>
    <t>Driver ~15 min</t>
  </si>
  <si>
    <t>Casual dinner near the castle</t>
  </si>
  <si>
    <t>Driver back</t>
  </si>
  <si>
    <t>6</t>
  </si>
  <si>
    <t>Sat Aug 29</t>
  </si>
  <si>
    <t>TUSCANY — Val d'Orcia drive</t>
  </si>
  <si>
    <t>~$325 / 30 min</t>
  </si>
  <si>
    <t>Flytographer -&gt;</t>
  </si>
  <si>
    <t>10:15am</t>
  </si>
  <si>
    <t>Pienza — Renaissance 'ideal city', pecorino shops, panoramic walls</t>
  </si>
  <si>
    <t>Driver ~30 min</t>
  </si>
  <si>
    <t>12:00pm</t>
  </si>
  <si>
    <t>Cypress-lined road photo stops (the postcard shots)</t>
  </si>
  <si>
    <t>Driver (scenic stops)</t>
  </si>
  <si>
    <t>Lunch: Latte di Luna (Pienza) / La Porta (Monticchiello)</t>
  </si>
  <si>
    <t>Walk / short drive</t>
  </si>
  <si>
    <t>Amalfi Coast (Days 4-6)</t>
  </si>
  <si>
    <t>Flytographer Amalfi Coast / Giuseppe Di Martino (Positano)</t>
  </si>
  <si>
    <t>Positano Spiaggia Grande &amp; pastel stairs; Amalfi Drive viewpoints; Ravello gardens</t>
  </si>
  <si>
    <t>小红书: 阿马尔菲/positano旅拍</t>
  </si>
  <si>
    <t>Montepulciano — Vino Nobile cellars (Avignonesi / Contucci)</t>
  </si>
  <si>
    <t>~$325-425</t>
  </si>
  <si>
    <t>Bagno Vignoni — medieval thermal-spring square</t>
  </si>
  <si>
    <t>Driver ~40 min</t>
  </si>
  <si>
    <t>Dinner: Osteria La Botte Piena (Montefollonico)</t>
  </si>
  <si>
    <t>Driver ~20 min</t>
  </si>
  <si>
    <t>Tuscany / Val d'Orcia (Days 7-10)</t>
  </si>
  <si>
    <t>Flytographer Tuscany / Localgrapher</t>
  </si>
  <si>
    <t>Cypress-lined roads (Val d'Orcia, golden hour); Pienza walls; vineyards at the castle</t>
  </si>
  <si>
    <t>小红书: 托斯卡纳旅拍</t>
  </si>
  <si>
    <t>7</t>
  </si>
  <si>
    <t>TUSCANY -&gt; FLORENCE — Casa G. Firenze (Boutique, Michelin Guide)</t>
  </si>
  <si>
    <t>10:00am</t>
  </si>
  <si>
    <t>Transfer to Florence (~1.5 hrs); release driver</t>
  </si>
  <si>
    <t>~$425 / 60 min</t>
  </si>
  <si>
    <t>Check in Casa G. Firenze (Via dei Rondinelli, between Duomo + SMN); lunch Trattoria Mario</t>
  </si>
  <si>
    <t>Florence (Days 11-12)</t>
  </si>
  <si>
    <t>Flytographer Florence / Localgrapher Florence</t>
  </si>
  <si>
    <t>Piazzale Michelangelo (sunset skyline); Ponte Vecchio at dawn; Uffizi loggia</t>
  </si>
  <si>
    <t>小红书: 佛罗伦萨旅拍</t>
  </si>
  <si>
    <t>Accademia — Michelangelo's David (timed entry)</t>
  </si>
  <si>
    <t>Walk ~10 min</t>
  </si>
  <si>
    <t>Capri (Day 5, optional)</t>
  </si>
  <si>
    <t>Flytographer Capri</t>
  </si>
  <si>
    <t>Gardens of Augustus over the Faraglioni; Via Krupp; Marina Grande</t>
  </si>
  <si>
    <t>小红书: capri旅拍</t>
  </si>
  <si>
    <t>Duomo — climb Brunelleschi's Dome (timed)</t>
  </si>
  <si>
    <t>Aperitivo: Casa G. Firenze secret patio / bar</t>
  </si>
  <si>
    <t>Note: Ctrip/Trip.com has no clear Italy 旅拍 listings (checked Jun 2026). Book via Flytographer/Localgrapher (English, reliable, instant) and request a Mandarin-speaking photographer in the notes; OR find Chinese 旅拍 photographers on 小红书 (Xiaohongshu) per the city searches above and DM them directly. Tip: shoot at dawn for empty landmarks; golden hour for the coast &amp; Tuscany.</t>
  </si>
  <si>
    <t>8:00pm</t>
  </si>
  <si>
    <t>OPERA: St. Mark's Anglican Church (La Traviata — confirm Sep date)</t>
  </si>
  <si>
    <t>Walk ~6 min (cross Ponte S. Trinita)</t>
  </si>
  <si>
    <t>9:30pm</t>
  </si>
  <si>
    <t>Dinner: Trattoria Sostanza (cash) / Buca dell'Orafo</t>
  </si>
  <si>
    <t>8</t>
  </si>
  <si>
    <t>Mon Aug 31</t>
  </si>
  <si>
    <t>FLORENCE — full day</t>
  </si>
  <si>
    <t>Uffizi Gallery guided, first entry (Botticelli, Leonardo)</t>
  </si>
  <si>
    <t>Oltrarno artisan workshops (Via Maggio / Santo Spirito)</t>
  </si>
  <si>
    <t>Cross Ponte S. Trinita (~4 min)</t>
  </si>
  <si>
    <t>Lunch: Il Santo Bevitore / Gucci Osteria (splurge)</t>
  </si>
  <si>
    <t>Walk (Oltrarno)</t>
  </si>
  <si>
    <t>Pitti Palace + Boboli Gardens</t>
  </si>
  <si>
    <t>Walk ~5 min</t>
  </si>
  <si>
    <t>Ponte Vecchio -&gt; Piazzale Michelangelo (sunset)</t>
  </si>
  <si>
    <t>Taxi up or walk uphill ~20 min</t>
  </si>
  <si>
    <t>Farewell Florence dinner: Borgo San Jacopo (Michelin, riverside)</t>
  </si>
  <si>
    <t>Taxi/walk down ~15 min</t>
  </si>
  <si>
    <t>9</t>
  </si>
  <si>
    <t>FLORENCE -&gt; AMALFI (via Frecciarossa + Pompeii)</t>
  </si>
  <si>
    <t>9:00am</t>
  </si>
  <si>
    <t>Check out; taxi to Santa Maria Novella station</t>
  </si>
  <si>
    <t>Taxi ~5 min</t>
  </si>
  <si>
    <t>Frecciarossa Florence -&gt; Naples (Napoli Centrale)</t>
  </si>
  <si>
    <t>High-speed train ~3 hrs</t>
  </si>
  <si>
    <t>Book -&gt;</t>
  </si>
  <si>
    <t>Arrive Naples; private driver meets at station</t>
  </si>
  <si>
    <t>Chinese driver-guide pickup</t>
  </si>
  <si>
    <t>Pompeii guided visit (~2 hrs) — ruins of the buried city</t>
  </si>
  <si>
    <t>Driver ~30 min from Naples</t>
  </si>
  <si>
    <t>4:30pm</t>
  </si>
  <si>
    <t>Lunch/snack at Pompeii; continue down the corniche</t>
  </si>
  <si>
    <t>Short drive near Pompeii</t>
  </si>
  <si>
    <t>Arrive Anantara Convento di Amalfi — cliff-edge monastery check-in</t>
  </si>
  <si>
    <t>Scenic corniche drive ~1.5 hrs</t>
  </si>
  <si>
    <t>Settle in; aperitivo on the monastery terrace</t>
  </si>
  <si>
    <t>Dinner: Dei Cappuccini (Michelin) / La Locanda pizza</t>
  </si>
  <si>
    <t>10</t>
  </si>
  <si>
    <t>Wed Sep 2</t>
  </si>
  <si>
    <t>AMALFI — Capri private boat day</t>
  </si>
  <si>
    <t>Private Capri boat day (Lucibello, ~7 hrs)</t>
  </si>
  <si>
    <t>Private boat from hotel jetty</t>
  </si>
  <si>
    <t>10:30am</t>
  </si>
  <si>
    <t>Faraglioni rocks, grottoes, swim coves; Blue Grotto if calm</t>
  </si>
  <si>
    <t>By boat</t>
  </si>
  <si>
    <t>Lunch: Da Paolino (lemon garden) / Il Riccio (Michelin)</t>
  </si>
  <si>
    <t>Boat to Marina Grande; funicular up</t>
  </si>
  <si>
    <t>Piazzetta, Gardens of Augustus, gelato on the cliff</t>
  </si>
  <si>
    <t>On foot in Capri town</t>
  </si>
  <si>
    <t>Cruise back, sunset prosecco stop</t>
  </si>
  <si>
    <t>By boat (~40 min)</t>
  </si>
  <si>
    <t>Dinner: La Conca del Sogno (Nerano) / hotel cloister terrace</t>
  </si>
  <si>
    <t>Hotel car or boat ~30 min</t>
  </si>
  <si>
    <t>11</t>
  </si>
  <si>
    <t>Thu Sep 3</t>
  </si>
  <si>
    <t>AMALFI — Ravello + coast</t>
  </si>
  <si>
    <t>Hotel beach club (cliff lift down) / pool morning</t>
  </si>
  <si>
    <t>Hotel cliff lift</t>
  </si>
  <si>
    <t>Lunch: Lo Scoglio (Nerano) — original spaghetti alla Nerano</t>
  </si>
  <si>
    <t>Hotel car / boat ~40 min</t>
  </si>
  <si>
    <t>Driver up to Ravello (~45 min)</t>
  </si>
  <si>
    <t>3:45pm</t>
  </si>
  <si>
    <t>Villa Cimbrone gardens (Terrace of Infinity over the sea)</t>
  </si>
  <si>
    <t>Walk (Ravello is car-free)</t>
  </si>
  <si>
    <t>6:30pm</t>
  </si>
  <si>
    <t>Aperitivo in Ravello; Villa Rufolo gardens</t>
  </si>
  <si>
    <t>RAVELLO FESTIVAL: check Sep 3 program — festival runs to Sep 5</t>
  </si>
  <si>
    <t>Walk to Villa Rufolo (ravellofestival.com)</t>
  </si>
  <si>
    <t>Late dinner: Il Flauto di Pan (Villa Cimbrone) / Rossellinis</t>
  </si>
  <si>
    <t>Walk; driver back down after</t>
  </si>
  <si>
    <t>12</t>
  </si>
  <si>
    <t>AMALFI -&gt; NAPLES — De Bonart Naples</t>
  </si>
  <si>
    <t>Check out Anantara; farewell to the coast</t>
  </si>
  <si>
    <t>Private driver Amalfi -&gt; Naples (~1.5 hrs along A3)</t>
  </si>
  <si>
    <t>Scenic coast then motorway</t>
  </si>
  <si>
    <t>Check in De Bonart Naples (Curio Collection, Chiaia district, art palazzo)</t>
  </si>
  <si>
    <t>At hotel on Via Partenope</t>
  </si>
  <si>
    <t>Naples Archaeological Museum — world's finest Pompeii artefacts</t>
  </si>
  <si>
    <t>Spaccanapoli walk — the ancient straight road through old Naples</t>
  </si>
  <si>
    <t>Walk from museum</t>
  </si>
  <si>
    <t>Info -&gt;</t>
  </si>
  <si>
    <t>Street food: pizza fritta, fried zeppoline, sfogliatella</t>
  </si>
  <si>
    <t>Aperitivo: hotel rooftop bar (Vesuvius + bay views)</t>
  </si>
  <si>
    <t>Dinner: Palazzo Petrucci (Michelin, Neapolitan tasting menu)</t>
  </si>
  <si>
    <t>Taxi ~15 min</t>
  </si>
  <si>
    <t>13</t>
  </si>
  <si>
    <t>NAPLES -&gt; ROME — The St. Regis Rome</t>
  </si>
  <si>
    <t>Morning: pizza breakfast at Sorbillo or Di Matteo (Spaccanapoli)</t>
  </si>
  <si>
    <t>Taxi to Napoli Centrale station</t>
  </si>
  <si>
    <t>Frecciarossa Naples -&gt; Roma Termini</t>
  </si>
  <si>
    <t>High-speed train ~1h15</t>
  </si>
  <si>
    <t>Arrive Roma Termini; check in to St. Regis Rome (~5 min away)</t>
  </si>
  <si>
    <t>Taxi / short walk</t>
  </si>
  <si>
    <t>Last Roman afternoon: Piazza di Spagna, Via Condotti shopping</t>
  </si>
  <si>
    <t>Walk ~15 min</t>
  </si>
  <si>
    <t>Aperitivo: St. Regis bar (Lumen) — final grand evening</t>
  </si>
  <si>
    <t>Farewell dinner: Aroma (rooftop Colosseum views) or Imago</t>
  </si>
  <si>
    <t>14</t>
  </si>
  <si>
    <t>DEPART</t>
  </si>
  <si>
    <t>6:30am</t>
  </si>
  <si>
    <t>Private transfer St. Regis Rome -&gt; FCO (~40 min)</t>
  </si>
  <si>
    <t>Pre-booked private car</t>
  </si>
  <si>
    <t>7:20am</t>
  </si>
  <si>
    <t>Check in, bag drop, security (~3 hrs before intl)</t>
  </si>
  <si>
    <t>At FCO</t>
  </si>
  <si>
    <t>10:20am</t>
  </si>
  <si>
    <t>FCO -&gt; IAH. Arrivederci, Italia.</t>
  </si>
  <si>
    <t>Depart by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</si>
</sst>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4">
    <font>
      <sz val="11.0"/>
      <color theme="1"/>
      <name val="Calibri"/>
      <scheme val="minor"/>
    </font>
    <font>
      <b/>
      <sz val="16.0"/>
      <color rgb="FF1F4E78"/>
      <name val="Calibri"/>
      <scheme val="minor"/>
    </font>
    <font>
      <b/>
      <color rgb="FF1F4E78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  <font>
      <b/>
      <sz val="12.0"/>
      <color rgb="FF1F4E78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563C1"/>
    </font>
    <font>
      <b/>
      <color rgb="FF2E5A88"/>
      <name val="Calibri"/>
      <scheme val="minor"/>
    </font>
    <font>
      <i/>
      <color rgb="FF595959"/>
      <name val="Calibri"/>
      <scheme val="minor"/>
    </font>
    <font>
      <u/>
      <color rgb="FF0563C1"/>
    </font>
    <font>
      <u/>
      <color rgb="FF0563C1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EAF2FB"/>
        <bgColor rgb="FFEAF2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vertical="center"/>
    </xf>
    <xf borderId="0" fillId="0" fontId="5" numFmtId="0" xfId="0" applyFont="1"/>
    <xf borderId="0" fillId="0" fontId="6" numFmtId="0" xfId="0" applyFont="1"/>
    <xf borderId="1" fillId="3" fontId="5" numFmtId="0" xfId="0" applyBorder="1" applyFill="1" applyFont="1"/>
    <xf borderId="0" fillId="0" fontId="3" numFmtId="164" xfId="0" applyFont="1" applyNumberFormat="1"/>
    <xf borderId="1" fillId="3" fontId="5" numFmtId="0" xfId="0" applyAlignment="1" applyBorder="1" applyFont="1">
      <alignment vertical="top"/>
    </xf>
    <xf borderId="0" fillId="0" fontId="3" numFmtId="164" xfId="0" applyAlignment="1" applyFont="1" applyNumberFormat="1">
      <alignment readingOrder="0"/>
    </xf>
    <xf borderId="1" fillId="3" fontId="5" numFmtId="0" xfId="0" applyAlignment="1" applyBorder="1" applyFont="1">
      <alignment shrinkToFit="0" vertical="top" wrapText="1"/>
    </xf>
    <xf borderId="1" fillId="4" fontId="3" numFmtId="0" xfId="0" applyBorder="1" applyFill="1" applyFont="1"/>
    <xf borderId="1" fillId="4" fontId="3" numFmtId="0" xfId="0" applyAlignment="1" applyBorder="1" applyFont="1">
      <alignment vertical="top"/>
    </xf>
    <xf borderId="0" fillId="0" fontId="7" numFmtId="0" xfId="0" applyFont="1"/>
    <xf borderId="0" fillId="0" fontId="8" numFmtId="0" xfId="0" applyAlignment="1" applyFont="1">
      <alignment vertical="top"/>
    </xf>
    <xf borderId="1" fillId="4" fontId="9" numFmtId="0" xfId="0" applyAlignment="1" applyBorder="1" applyFont="1">
      <alignment vertical="top"/>
    </xf>
    <xf borderId="0" fillId="0" fontId="7" numFmtId="164" xfId="0" applyFont="1" applyNumberFormat="1"/>
    <xf borderId="1" fillId="4" fontId="3" numFmtId="0" xfId="0" applyAlignment="1" applyBorder="1" applyFont="1">
      <alignment shrinkToFit="0" vertical="top" wrapText="1"/>
    </xf>
    <xf borderId="1" fillId="4" fontId="10" numFmtId="0" xfId="0" applyAlignment="1" applyBorder="1" applyFont="1">
      <alignment shrinkToFit="0" vertical="top" wrapText="1"/>
    </xf>
    <xf borderId="1" fillId="5" fontId="3" numFmtId="0" xfId="0" applyBorder="1" applyFill="1" applyFont="1"/>
    <xf borderId="1" fillId="5" fontId="3" numFmtId="0" xfId="0" applyAlignment="1" applyBorder="1" applyFont="1">
      <alignment vertical="top"/>
    </xf>
    <xf borderId="1" fillId="5" fontId="9" numFmtId="0" xfId="0" applyAlignment="1" applyBorder="1" applyFont="1">
      <alignment vertical="top"/>
    </xf>
    <xf borderId="1" fillId="5" fontId="3" numFmtId="0" xfId="0" applyAlignment="1" applyBorder="1" applyFont="1">
      <alignment readingOrder="0" shrinkToFit="0" vertical="top" wrapText="1"/>
    </xf>
    <xf borderId="1" fillId="5" fontId="10" numFmtId="0" xfId="0" applyAlignment="1" applyBorder="1" applyFon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4" fontId="11" numFmtId="0" xfId="0" applyAlignment="1" applyBorder="1" applyFont="1">
      <alignment vertical="top"/>
    </xf>
    <xf borderId="0" fillId="0" fontId="6" numFmtId="0" xfId="0" applyAlignment="1" applyFont="1">
      <alignment readingOrder="0"/>
    </xf>
    <xf borderId="1" fillId="3" fontId="7" numFmtId="0" xfId="0" applyBorder="1" applyFont="1"/>
    <xf borderId="1" fillId="3" fontId="7" numFmtId="164" xfId="0" applyBorder="1" applyFont="1" applyNumberFormat="1"/>
    <xf borderId="1" fillId="5" fontId="12" numFmtId="0" xfId="0" applyAlignment="1" applyBorder="1" applyFont="1">
      <alignment vertical="top"/>
    </xf>
    <xf borderId="0" fillId="0" fontId="13" numFmtId="0" xfId="0" applyAlignment="1" applyFont="1">
      <alignment readingOrder="0"/>
    </xf>
    <xf borderId="1" fillId="3" fontId="2" numFmtId="0" xfId="0" applyBorder="1" applyFont="1"/>
    <xf borderId="1" fillId="3" fontId="3" numFmtId="0" xfId="0" applyAlignment="1" applyBorder="1" applyFont="1">
      <alignment shrinkToFit="0" vertical="top" wrapText="1"/>
    </xf>
    <xf borderId="1" fillId="3" fontId="3" numFmtId="0" xfId="0" applyBorder="1" applyFont="1"/>
    <xf borderId="1" fillId="4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trip.com/hotels/" TargetMode="External"/><Relationship Id="rId2" Type="http://schemas.openxmlformats.org/officeDocument/2006/relationships/hyperlink" Target="https://www.trenitalia.com/en.html" TargetMode="External"/><Relationship Id="rId3" Type="http://schemas.openxmlformats.org/officeDocument/2006/relationships/hyperlink" Target="https://www.getyourguide.com/" TargetMode="External"/><Relationship Id="rId4" Type="http://schemas.openxmlformats.org/officeDocument/2006/relationships/hyperlink" Target="https://operaticketsitaly.com/" TargetMode="External"/><Relationship Id="rId5" Type="http://schemas.openxmlformats.org/officeDocument/2006/relationships/hyperlink" Target="https://romataxi.cn/" TargetMode="External"/><Relationship Id="rId6" Type="http://schemas.openxmlformats.org/officeDocument/2006/relationships/hyperlink" Target="https://car.ctrip.com/idayweb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ip.com/hotels/rome-hotel-detail-2005587/the-st-regis-rome/?checkIn=2026-09-05&amp;checkOut=2026-09-06&amp;adult=2&amp;children=0&amp;curr=USD" TargetMode="External"/><Relationship Id="rId20" Type="http://schemas.openxmlformats.org/officeDocument/2006/relationships/hyperlink" Target="https://www.google.com/search?q=Borgo+San+Jacopo+restaurant+Florence+reservation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www.pompeiisites.org/en/" TargetMode="External"/><Relationship Id="rId21" Type="http://schemas.openxmlformats.org/officeDocument/2006/relationships/hyperlink" Target="https://www.trenitalia.com/en.html" TargetMode="External"/><Relationship Id="rId24" Type="http://schemas.openxmlformats.org/officeDocument/2006/relationships/hyperlink" Target="https://us.trip.com/hotels/list?city=10255&amp;cityName=Amalfi&amp;provinceId=10136&amp;countryId=106&amp;checkIn=2026-09-01&amp;checkOut=2026-09-04&amp;lat=40.63291&amp;lon=14.597252&amp;districtId=0&amp;barCurr=USD&amp;searchType=H&amp;searchWord=Anantara%20Convento%20di%20Amalfi%20Grand%20Hotel&amp;searchValue=31%7C2290869*31*2290869*1&amp;crn=1&amp;adult=2&amp;children=0&amp;searchBoxArg=t&amp;travelPurpose=0&amp;domestic=false" TargetMode="External"/><Relationship Id="rId23" Type="http://schemas.openxmlformats.org/officeDocument/2006/relationships/hyperlink" Target="https://www.pompeiisites.org/en/" TargetMode="External"/><Relationship Id="rId1" Type="http://schemas.openxmlformats.org/officeDocument/2006/relationships/hyperlink" Target="https://www.google.com/search?q=Armando+al+Pantheon+Rome+reservation" TargetMode="External"/><Relationship Id="rId2" Type="http://schemas.openxmlformats.org/officeDocument/2006/relationships/hyperlink" Target="https://tickets.museivaticani.va/" TargetMode="External"/><Relationship Id="rId3" Type="http://schemas.openxmlformats.org/officeDocument/2006/relationships/hyperlink" Target="https://operaticketsitaly.com/opera-classical-concerts-rome/" TargetMode="External"/><Relationship Id="rId4" Type="http://schemas.openxmlformats.org/officeDocument/2006/relationships/hyperlink" Target="https://www.google.com/search?q=Pierluigi+restaurant+Rome+reservation" TargetMode="External"/><Relationship Id="rId9" Type="http://schemas.openxmlformats.org/officeDocument/2006/relationships/hyperlink" Target="https://www.castellobanfiilborgo.com/en/" TargetMode="External"/><Relationship Id="rId26" Type="http://schemas.openxmlformats.org/officeDocument/2006/relationships/hyperlink" Target="https://www.lucibello.it/en/" TargetMode="External"/><Relationship Id="rId25" Type="http://schemas.openxmlformats.org/officeDocument/2006/relationships/hyperlink" Target="https://www.google.com/search?q=Dei+Cappuccini+Anantara+Convento+Amalfi+restaurant" TargetMode="External"/><Relationship Id="rId28" Type="http://schemas.openxmlformats.org/officeDocument/2006/relationships/hyperlink" Target="https://www.google.com/search?q=La+Conca+del+Sogno+Nerano+reservation" TargetMode="External"/><Relationship Id="rId27" Type="http://schemas.openxmlformats.org/officeDocument/2006/relationships/hyperlink" Target="https://www.google.com/search?q=Da+Paolino+Capri+reservation" TargetMode="External"/><Relationship Id="rId5" Type="http://schemas.openxmlformats.org/officeDocument/2006/relationships/hyperlink" Target="https://www.coopculture.it/en/colosseo-e-shop.cfm" TargetMode="External"/><Relationship Id="rId6" Type="http://schemas.openxmlformats.org/officeDocument/2006/relationships/hyperlink" Target="https://www.google.com/search?q=Roscioli+Rome+reservation" TargetMode="External"/><Relationship Id="rId29" Type="http://schemas.openxmlformats.org/officeDocument/2006/relationships/hyperlink" Target="https://www.google.com/search?q=Lo+Scoglio+Nerano+reservation" TargetMode="External"/><Relationship Id="rId7" Type="http://schemas.openxmlformats.org/officeDocument/2006/relationships/hyperlink" Target="https://galleriaborghese.beniculturali.it/en/" TargetMode="External"/><Relationship Id="rId8" Type="http://schemas.openxmlformats.org/officeDocument/2006/relationships/hyperlink" Target="https://www.google.com/search?q=Da+Enzo+al+29+Trastevere+reservation" TargetMode="External"/><Relationship Id="rId31" Type="http://schemas.openxmlformats.org/officeDocument/2006/relationships/hyperlink" Target="https://www.ravellofestival.com/en/" TargetMode="External"/><Relationship Id="rId30" Type="http://schemas.openxmlformats.org/officeDocument/2006/relationships/hyperlink" Target="https://www.villarufolo.com/en/" TargetMode="External"/><Relationship Id="rId11" Type="http://schemas.openxmlformats.org/officeDocument/2006/relationships/hyperlink" Target="https://www.google.com/search?q=Osteria+La+Botte+Piena+Montefollonico+reservation" TargetMode="External"/><Relationship Id="rId33" Type="http://schemas.openxmlformats.org/officeDocument/2006/relationships/hyperlink" Target="https://www.trip.com/hotels/naples-hotel-detail-2150889/de-bonart-naples-curio-collection-by-hilton/?checkIn=2026-09-04&amp;checkOut=2026-09-05&amp;adult=2&amp;children=0&amp;curr=USD" TargetMode="External"/><Relationship Id="rId10" Type="http://schemas.openxmlformats.org/officeDocument/2006/relationships/hyperlink" Target="https://www.google.com/search?q=Trattoria+Latte+di+Luna+Pienza+reservation" TargetMode="External"/><Relationship Id="rId32" Type="http://schemas.openxmlformats.org/officeDocument/2006/relationships/hyperlink" Target="https://www.google.com/search?q=Il+Flauto+di+Pan+Villa+Cimbrone+Ravello+reservation" TargetMode="External"/><Relationship Id="rId13" Type="http://schemas.openxmlformats.org/officeDocument/2006/relationships/hyperlink" Target="https://www.galleriaaccademiafirenze.it/en/" TargetMode="External"/><Relationship Id="rId35" Type="http://schemas.openxmlformats.org/officeDocument/2006/relationships/hyperlink" Target="https://www.google.com/search?q=Spaccanapoli+Naples+walk+guide" TargetMode="External"/><Relationship Id="rId12" Type="http://schemas.openxmlformats.org/officeDocument/2006/relationships/hyperlink" Target="https://www.trip.com/hotels/florence-hotel-detail-92373569/casa-g-firenze/?checkIn=2026-08-30&amp;checkOut=2026-09-01&amp;adult=2&amp;children=0&amp;curr=USD" TargetMode="External"/><Relationship Id="rId34" Type="http://schemas.openxmlformats.org/officeDocument/2006/relationships/hyperlink" Target="https://mann-napoli.it/en/" TargetMode="External"/><Relationship Id="rId15" Type="http://schemas.openxmlformats.org/officeDocument/2006/relationships/hyperlink" Target="https://www.trip.com/hotels/florence-hotel-detail-92373569/casa-g-firenze/?checkIn=2026-08-30&amp;checkOut=2026-09-01&amp;adult=2&amp;children=0&amp;curr=USD" TargetMode="External"/><Relationship Id="rId37" Type="http://schemas.openxmlformats.org/officeDocument/2006/relationships/hyperlink" Target="https://www.trenitalia.com/en.html" TargetMode="External"/><Relationship Id="rId14" Type="http://schemas.openxmlformats.org/officeDocument/2006/relationships/hyperlink" Target="https://duomo.firenze.it/en/buy-tickets" TargetMode="External"/><Relationship Id="rId36" Type="http://schemas.openxmlformats.org/officeDocument/2006/relationships/hyperlink" Target="https://www.google.com/search?q=Spaccanapoli+Naples+walk+guide" TargetMode="External"/><Relationship Id="rId17" Type="http://schemas.openxmlformats.org/officeDocument/2006/relationships/hyperlink" Target="https://www.google.com/search?q=Trattoria+Sostanza+Florence+reservation" TargetMode="External"/><Relationship Id="rId39" Type="http://schemas.openxmlformats.org/officeDocument/2006/relationships/hyperlink" Target="https://www.coopculture.it/en/colosseo-e-shop.cfm" TargetMode="External"/><Relationship Id="rId16" Type="http://schemas.openxmlformats.org/officeDocument/2006/relationships/hyperlink" Target="https://operaticketsitaly.com/opera-concerts-florence/" TargetMode="External"/><Relationship Id="rId38" Type="http://schemas.openxmlformats.org/officeDocument/2006/relationships/hyperlink" Target="https://www.trip.com/hotels/rome-hotel-detail-2005587/the-st-regis-rome/?checkIn=2026-09-05&amp;checkOut=2026-09-06&amp;adult=2&amp;children=0&amp;curr=USD" TargetMode="External"/><Relationship Id="rId19" Type="http://schemas.openxmlformats.org/officeDocument/2006/relationships/hyperlink" Target="https://www.google.com/search?q=Il+Santo+Bevitore+Florence+reservation" TargetMode="External"/><Relationship Id="rId18" Type="http://schemas.openxmlformats.org/officeDocument/2006/relationships/hyperlink" Target="https://www.uffizi.it/en/ticket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ip.com/hotels/rome-hotel-detail-133328373/hotel-trame/?checkIn=2026-08-24&amp;checkOut=2026-08-27&amp;adult=2&amp;children=0&amp;curr=USD" TargetMode="External"/><Relationship Id="rId2" Type="http://schemas.openxmlformats.org/officeDocument/2006/relationships/hyperlink" Target="https://www.trip.com/hotels/montalcino-hotel-detail-3724491/castello-di-velona-resort-thermal-spa-winery/?checkIn=2026-08-27&amp;checkOut=2026-08-30&amp;adult=2&amp;children=0&amp;curr=USD" TargetMode="External"/><Relationship Id="rId3" Type="http://schemas.openxmlformats.org/officeDocument/2006/relationships/hyperlink" Target="https://www.trip.com/hotels/florence-hotel-detail-92373569/casa-g-firenze/?checkIn=2026-08-30&amp;checkOut=2026-09-01&amp;adult=2&amp;children=0&amp;curr=USD" TargetMode="External"/><Relationship Id="rId4" Type="http://schemas.openxmlformats.org/officeDocument/2006/relationships/hyperlink" Target="https://us.trip.com/hotels/list?city=10255&amp;cityName=Amalfi&amp;provinceId=10136&amp;countryId=106&amp;checkIn=2026-09-01&amp;checkOut=2026-09-04&amp;lat=40.63291&amp;lon=14.597252&amp;districtId=0&amp;barCurr=USD&amp;searchType=H&amp;searchWord=Anantara%20Convento%20di%20Amalfi%20Grand%20Hotel&amp;searchValue=31%7C2290869*31*2290869*1&amp;crn=1&amp;adult=2&amp;children=0&amp;searchBoxArg=t&amp;travelPurpose=0&amp;domestic=false" TargetMode="External"/><Relationship Id="rId5" Type="http://schemas.openxmlformats.org/officeDocument/2006/relationships/hyperlink" Target="https://www.trip.com/hotels/naples-hotel-detail-2150889/de-bonart-naples-curio-collection-by-hilton/?checkIn=2026-09-04&amp;checkOut=2026-09-05&amp;adult=2&amp;children=0&amp;curr=USD" TargetMode="External"/><Relationship Id="rId6" Type="http://schemas.openxmlformats.org/officeDocument/2006/relationships/hyperlink" Target="https://www.trip.com/hotels/rome-hotel-detail-2005587/the-st-regis-rome/?checkIn=2026-09-05&amp;checkOut=2026-09-06&amp;adult=2&amp;children=0&amp;curr=USD" TargetMode="External"/><Relationship Id="rId7" Type="http://schemas.openxmlformats.org/officeDocument/2006/relationships/hyperlink" Target="https://www.tuscanyhorsetrail.com/events/daily_excursions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omataxi.cn/" TargetMode="External"/><Relationship Id="rId2" Type="http://schemas.openxmlformats.org/officeDocument/2006/relationships/hyperlink" Target="https://romataxi.cn/" TargetMode="External"/><Relationship Id="rId3" Type="http://schemas.openxmlformats.org/officeDocument/2006/relationships/hyperlink" Target="https://romataxi.cn/" TargetMode="External"/><Relationship Id="rId4" Type="http://schemas.openxmlformats.org/officeDocument/2006/relationships/hyperlink" Target="https://romataxi.cn/" TargetMode="External"/><Relationship Id="rId9" Type="http://schemas.openxmlformats.org/officeDocument/2006/relationships/hyperlink" Target="https://romataxi.cn/" TargetMode="External"/><Relationship Id="rId5" Type="http://schemas.openxmlformats.org/officeDocument/2006/relationships/hyperlink" Target="https://romataxi.cn/" TargetMode="External"/><Relationship Id="rId6" Type="http://schemas.openxmlformats.org/officeDocument/2006/relationships/hyperlink" Target="https://www.trenitalia.com/en.html" TargetMode="External"/><Relationship Id="rId7" Type="http://schemas.openxmlformats.org/officeDocument/2006/relationships/hyperlink" Target="https://romataxi.cn/" TargetMode="External"/><Relationship Id="rId8" Type="http://schemas.openxmlformats.org/officeDocument/2006/relationships/hyperlink" Target="https://romataxi.cn/" TargetMode="External"/><Relationship Id="rId11" Type="http://schemas.openxmlformats.org/officeDocument/2006/relationships/hyperlink" Target="https://romataxi.cn/" TargetMode="External"/><Relationship Id="rId10" Type="http://schemas.openxmlformats.org/officeDocument/2006/relationships/hyperlink" Target="https://www.trenitalia.com/en.html" TargetMode="External"/><Relationship Id="rId13" Type="http://schemas.openxmlformats.org/officeDocument/2006/relationships/hyperlink" Target="https://car.ctrip.com/idayweb" TargetMode="External"/><Relationship Id="rId12" Type="http://schemas.openxmlformats.org/officeDocument/2006/relationships/hyperlink" Target="https://romataxi.cn/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ssictic.com/en/city/rome-t14/rome-concert-venues-vc1/all-saints-church-vl51/" TargetMode="External"/><Relationship Id="rId2" Type="http://schemas.openxmlformats.org/officeDocument/2006/relationships/hyperlink" Target="https://www.ravellofestival.com/en/" TargetMode="External"/><Relationship Id="rId3" Type="http://schemas.openxmlformats.org/officeDocument/2006/relationships/hyperlink" Target="https://www.classictic.com/en/city/florence-t16/la-traviata-at-stmarks-anglican-church/111519/" TargetMode="External"/><Relationship Id="rId4" Type="http://schemas.openxmlformats.org/officeDocument/2006/relationships/hyperlink" Target="https://www.arena.it/en/" TargetMode="External"/><Relationship Id="rId9" Type="http://schemas.openxmlformats.org/officeDocument/2006/relationships/hyperlink" Target="https://operaticketsitaly.com/" TargetMode="External"/><Relationship Id="rId5" Type="http://schemas.openxmlformats.org/officeDocument/2006/relationships/hyperlink" Target="https://us.trip.com/hotels/" TargetMode="External"/><Relationship Id="rId6" Type="http://schemas.openxmlformats.org/officeDocument/2006/relationships/hyperlink" Target="https://us.trip.com/hotels/" TargetMode="External"/><Relationship Id="rId7" Type="http://schemas.openxmlformats.org/officeDocument/2006/relationships/hyperlink" Target="https://www.lucibello.it/en/" TargetMode="External"/><Relationship Id="rId8" Type="http://schemas.openxmlformats.org/officeDocument/2006/relationships/hyperlink" Target="https://www.getyourguide.com/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www.trenitalia.com/en.htm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search_result?keyword=%E7%BD%97%E9%A9%AC%E6%97%85%E6%8B%8D" TargetMode="External"/><Relationship Id="rId2" Type="http://schemas.openxmlformats.org/officeDocument/2006/relationships/hyperlink" Target="https://www.flytographer.com/destinations/rome/" TargetMode="External"/><Relationship Id="rId3" Type="http://schemas.openxmlformats.org/officeDocument/2006/relationships/hyperlink" Target="https://www.xiaohongshu.com/search_result?keyword=%E9%98%BF%E9%A9%AC%E5%B0%94%E8%8F%B2+%E6%97%85%E6%8B%8D" TargetMode="External"/><Relationship Id="rId4" Type="http://schemas.openxmlformats.org/officeDocument/2006/relationships/hyperlink" Target="https://www.flytographer.com/destinations/amalfi-coast/" TargetMode="External"/><Relationship Id="rId9" Type="http://schemas.openxmlformats.org/officeDocument/2006/relationships/hyperlink" Target="https://www.xiaohongshu.com/search_result?keyword=%E5%8D%A1%E6%99%AE%E9%87%8C+%E6%97%85%E6%8B%8D" TargetMode="External"/><Relationship Id="rId5" Type="http://schemas.openxmlformats.org/officeDocument/2006/relationships/hyperlink" Target="https://www.xiaohongshu.com/search_result?keyword=%E6%89%98%E6%96%AF%E5%8D%A1%E7%BA%B3+%E6%97%85%E6%8B%8D" TargetMode="External"/><Relationship Id="rId6" Type="http://schemas.openxmlformats.org/officeDocument/2006/relationships/hyperlink" Target="https://www.flytographer.com/destinations/tuscany/" TargetMode="External"/><Relationship Id="rId7" Type="http://schemas.openxmlformats.org/officeDocument/2006/relationships/hyperlink" Target="https://www.xiaohongshu.com/search_result?keyword=%E4%BD%9B%E7%BD%97%E4%BC%A6%E8%90%A8%E6%97%85%E6%8B%8D" TargetMode="External"/><Relationship Id="rId8" Type="http://schemas.openxmlformats.org/officeDocument/2006/relationships/hyperlink" Target="https://www.flytographer.com/destinations/florence/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flytographer.com/destinations/cap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1" t="s">
        <v>0</v>
      </c>
    </row>
    <row r="3" ht="19.5" customHeight="1">
      <c r="A3" s="2" t="s">
        <v>1</v>
      </c>
      <c r="B3" s="3" t="s">
        <v>4</v>
      </c>
    </row>
    <row r="4" ht="19.5" customHeight="1">
      <c r="A4" s="2" t="s">
        <v>5</v>
      </c>
      <c r="B4" s="3" t="s">
        <v>6</v>
      </c>
    </row>
    <row r="5" ht="19.5" customHeight="1">
      <c r="A5" s="2" t="s">
        <v>7</v>
      </c>
      <c r="B5" s="3" t="s">
        <v>8</v>
      </c>
    </row>
    <row r="6" ht="19.5" customHeight="1">
      <c r="A6" s="2" t="s">
        <v>9</v>
      </c>
      <c r="B6" s="3" t="s">
        <v>11</v>
      </c>
    </row>
    <row r="7" ht="19.5" customHeight="1">
      <c r="A7" s="2" t="s">
        <v>12</v>
      </c>
      <c r="B7" s="3" t="s">
        <v>13</v>
      </c>
    </row>
    <row r="8" ht="19.5" customHeight="1">
      <c r="A8" s="2" t="s">
        <v>15</v>
      </c>
      <c r="B8" s="3" t="s">
        <v>17</v>
      </c>
    </row>
    <row r="9" ht="19.5" customHeight="1">
      <c r="A9" s="2" t="s">
        <v>18</v>
      </c>
      <c r="B9" s="3" t="s">
        <v>21</v>
      </c>
    </row>
    <row r="11">
      <c r="A11" s="5" t="s">
        <v>22</v>
      </c>
    </row>
    <row r="12">
      <c r="A12" s="2" t="s">
        <v>25</v>
      </c>
      <c r="B12" s="3" t="s">
        <v>27</v>
      </c>
    </row>
    <row r="13">
      <c r="A13" s="2" t="s">
        <v>30</v>
      </c>
      <c r="B13" s="3" t="s">
        <v>32</v>
      </c>
    </row>
    <row r="14">
      <c r="A14" s="2" t="s">
        <v>33</v>
      </c>
      <c r="B14" s="3" t="s">
        <v>37</v>
      </c>
    </row>
    <row r="15">
      <c r="A15" s="2" t="s">
        <v>38</v>
      </c>
      <c r="B15" s="3" t="s">
        <v>39</v>
      </c>
    </row>
    <row r="16">
      <c r="A16" s="2" t="s">
        <v>41</v>
      </c>
      <c r="B16" s="3" t="s">
        <v>42</v>
      </c>
    </row>
    <row r="18">
      <c r="A18" s="5" t="s">
        <v>44</v>
      </c>
    </row>
    <row r="19">
      <c r="A19" s="2" t="s">
        <v>46</v>
      </c>
      <c r="B19" s="15" t="s">
        <v>48</v>
      </c>
    </row>
    <row r="20">
      <c r="A20" s="2" t="s">
        <v>66</v>
      </c>
      <c r="B20" s="15" t="s">
        <v>67</v>
      </c>
    </row>
    <row r="21" ht="15.75" customHeight="1">
      <c r="A21" s="2" t="s">
        <v>75</v>
      </c>
      <c r="B21" s="15" t="s">
        <v>78</v>
      </c>
    </row>
    <row r="22" ht="15.75" customHeight="1">
      <c r="A22" s="2" t="s">
        <v>83</v>
      </c>
      <c r="B22" s="15" t="s">
        <v>84</v>
      </c>
    </row>
    <row r="23" ht="15.75" customHeight="1">
      <c r="A23" s="2" t="s">
        <v>94</v>
      </c>
      <c r="B23" s="15" t="s">
        <v>95</v>
      </c>
    </row>
    <row r="24" ht="15.75" customHeight="1">
      <c r="A24" s="2" t="s">
        <v>102</v>
      </c>
      <c r="B24" s="15" t="s">
        <v>104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9"/>
    <hyperlink r:id="rId2" ref="B20"/>
    <hyperlink r:id="rId3" ref="B21"/>
    <hyperlink r:id="rId4" ref="B22"/>
    <hyperlink r:id="rId5" ref="B23"/>
    <hyperlink r:id="rId6" ref="B24"/>
  </hyperlinks>
  <printOptions/>
  <pageMargins bottom="1.0" footer="0.0" header="0.0" left="0.75" right="0.75" top="1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50.0"/>
    <col customWidth="1" min="5" max="5" width="28.0"/>
    <col customWidth="1" min="6" max="6" width="12.0"/>
    <col customWidth="1" min="7" max="26" width="8.71"/>
  </cols>
  <sheetData>
    <row r="1">
      <c r="A1" s="4" t="s">
        <v>10</v>
      </c>
      <c r="B1" s="4" t="s">
        <v>14</v>
      </c>
      <c r="C1" s="4" t="s">
        <v>19</v>
      </c>
      <c r="D1" s="4" t="s">
        <v>23</v>
      </c>
      <c r="E1" s="4" t="s">
        <v>26</v>
      </c>
      <c r="F1" s="4" t="s">
        <v>29</v>
      </c>
    </row>
    <row r="2" ht="21.75" customHeight="1">
      <c r="A2" s="7" t="s">
        <v>35</v>
      </c>
      <c r="B2" s="9" t="s">
        <v>51</v>
      </c>
      <c r="C2" s="9" t="s">
        <v>55</v>
      </c>
      <c r="D2" s="11"/>
      <c r="E2" s="11"/>
      <c r="F2" s="7"/>
    </row>
    <row r="3" ht="18.0" customHeight="1">
      <c r="A3" s="12"/>
      <c r="B3" s="13"/>
      <c r="C3" s="16" t="s">
        <v>65</v>
      </c>
      <c r="D3" s="18" t="s">
        <v>68</v>
      </c>
      <c r="E3" s="19" t="s">
        <v>70</v>
      </c>
      <c r="F3" s="12"/>
    </row>
    <row r="4" ht="18.0" customHeight="1">
      <c r="A4" s="20"/>
      <c r="B4" s="21"/>
      <c r="C4" s="22" t="s">
        <v>71</v>
      </c>
      <c r="D4" s="23" t="s">
        <v>73</v>
      </c>
      <c r="E4" s="24" t="s">
        <v>79</v>
      </c>
      <c r="F4" s="20"/>
    </row>
    <row r="5" ht="18.0" customHeight="1">
      <c r="A5" s="12"/>
      <c r="B5" s="13"/>
      <c r="C5" s="16" t="s">
        <v>80</v>
      </c>
      <c r="D5" s="18" t="s">
        <v>81</v>
      </c>
      <c r="E5" s="19"/>
      <c r="F5" s="12"/>
    </row>
    <row r="6" ht="18.0" customHeight="1">
      <c r="A6" s="20"/>
      <c r="B6" s="21"/>
      <c r="C6" s="22" t="s">
        <v>82</v>
      </c>
      <c r="D6" s="25" t="s">
        <v>85</v>
      </c>
      <c r="E6" s="24" t="s">
        <v>89</v>
      </c>
      <c r="F6" s="20"/>
    </row>
    <row r="7" ht="18.0" customHeight="1">
      <c r="A7" s="12"/>
      <c r="B7" s="13"/>
      <c r="C7" s="16" t="s">
        <v>91</v>
      </c>
      <c r="D7" s="18" t="s">
        <v>92</v>
      </c>
      <c r="E7" s="19" t="s">
        <v>93</v>
      </c>
      <c r="F7" s="12"/>
    </row>
    <row r="8" ht="18.0" customHeight="1">
      <c r="A8" s="20"/>
      <c r="B8" s="21"/>
      <c r="C8" s="22" t="s">
        <v>96</v>
      </c>
      <c r="D8" s="25" t="s">
        <v>97</v>
      </c>
      <c r="E8" s="24" t="s">
        <v>98</v>
      </c>
      <c r="F8" s="20"/>
    </row>
    <row r="9" ht="18.0" customHeight="1">
      <c r="A9" s="12"/>
      <c r="B9" s="13"/>
      <c r="C9" s="16" t="s">
        <v>105</v>
      </c>
      <c r="D9" s="18" t="s">
        <v>106</v>
      </c>
      <c r="E9" s="19" t="s">
        <v>107</v>
      </c>
      <c r="F9" s="26" t="s">
        <v>108</v>
      </c>
    </row>
    <row r="10" ht="21.75" customHeight="1">
      <c r="A10" s="7" t="s">
        <v>4</v>
      </c>
      <c r="B10" s="9" t="s">
        <v>113</v>
      </c>
      <c r="C10" s="9" t="s">
        <v>114</v>
      </c>
      <c r="D10" s="11"/>
      <c r="E10" s="11"/>
      <c r="F10" s="7"/>
    </row>
    <row r="11" ht="18.0" customHeight="1">
      <c r="A11" s="12"/>
      <c r="B11" s="13"/>
      <c r="C11" s="16" t="s">
        <v>115</v>
      </c>
      <c r="D11" s="18" t="s">
        <v>118</v>
      </c>
      <c r="E11" s="19" t="s">
        <v>119</v>
      </c>
      <c r="F11" s="26" t="s">
        <v>122</v>
      </c>
    </row>
    <row r="12" ht="18.0" customHeight="1">
      <c r="A12" s="20"/>
      <c r="B12" s="21"/>
      <c r="C12" s="22" t="s">
        <v>123</v>
      </c>
      <c r="D12" s="25" t="s">
        <v>124</v>
      </c>
      <c r="E12" s="24" t="s">
        <v>125</v>
      </c>
      <c r="F12" s="20"/>
    </row>
    <row r="13" ht="18.0" customHeight="1">
      <c r="A13" s="12"/>
      <c r="B13" s="13"/>
      <c r="C13" s="16" t="s">
        <v>126</v>
      </c>
      <c r="D13" s="18" t="s">
        <v>127</v>
      </c>
      <c r="E13" s="19" t="s">
        <v>128</v>
      </c>
      <c r="F13" s="12"/>
    </row>
    <row r="14" ht="18.0" customHeight="1">
      <c r="A14" s="20"/>
      <c r="B14" s="21"/>
      <c r="C14" s="22" t="s">
        <v>129</v>
      </c>
      <c r="D14" s="25" t="s">
        <v>130</v>
      </c>
      <c r="E14" s="24" t="s">
        <v>131</v>
      </c>
      <c r="F14" s="20"/>
    </row>
    <row r="15" ht="18.0" customHeight="1">
      <c r="A15" s="12"/>
      <c r="B15" s="13"/>
      <c r="C15" s="16" t="s">
        <v>96</v>
      </c>
      <c r="D15" s="18" t="s">
        <v>132</v>
      </c>
      <c r="E15" s="19" t="s">
        <v>133</v>
      </c>
      <c r="F15" s="12"/>
    </row>
    <row r="16" ht="18.0" customHeight="1">
      <c r="A16" s="20"/>
      <c r="B16" s="21"/>
      <c r="C16" s="22" t="s">
        <v>134</v>
      </c>
      <c r="D16" s="25" t="s">
        <v>135</v>
      </c>
      <c r="E16" s="24" t="s">
        <v>136</v>
      </c>
      <c r="F16" s="30" t="s">
        <v>122</v>
      </c>
    </row>
    <row r="17" ht="18.0" customHeight="1">
      <c r="A17" s="12"/>
      <c r="B17" s="13"/>
      <c r="C17" s="16" t="s">
        <v>138</v>
      </c>
      <c r="D17" s="18" t="s">
        <v>139</v>
      </c>
      <c r="E17" s="19" t="s">
        <v>141</v>
      </c>
      <c r="F17" s="26" t="s">
        <v>108</v>
      </c>
    </row>
    <row r="18" ht="21.75" customHeight="1">
      <c r="A18" s="7" t="s">
        <v>150</v>
      </c>
      <c r="B18" s="9" t="s">
        <v>152</v>
      </c>
      <c r="C18" s="9" t="s">
        <v>153</v>
      </c>
      <c r="D18" s="11"/>
      <c r="E18" s="11"/>
      <c r="F18" s="7"/>
    </row>
    <row r="19" ht="18.0" customHeight="1">
      <c r="A19" s="12"/>
      <c r="B19" s="13"/>
      <c r="C19" s="16" t="s">
        <v>164</v>
      </c>
      <c r="D19" s="18" t="s">
        <v>167</v>
      </c>
      <c r="E19" s="19" t="s">
        <v>170</v>
      </c>
      <c r="F19" s="26" t="s">
        <v>122</v>
      </c>
    </row>
    <row r="20" ht="18.0" customHeight="1">
      <c r="A20" s="20"/>
      <c r="B20" s="21"/>
      <c r="C20" s="22" t="s">
        <v>123</v>
      </c>
      <c r="D20" s="25" t="s">
        <v>186</v>
      </c>
      <c r="E20" s="24" t="s">
        <v>190</v>
      </c>
      <c r="F20" s="30" t="s">
        <v>108</v>
      </c>
    </row>
    <row r="21" ht="18.0" customHeight="1">
      <c r="A21" s="12"/>
      <c r="B21" s="13"/>
      <c r="C21" s="16" t="s">
        <v>126</v>
      </c>
      <c r="D21" s="18" t="s">
        <v>207</v>
      </c>
      <c r="E21" s="19" t="s">
        <v>93</v>
      </c>
      <c r="F21" s="12"/>
    </row>
    <row r="22" ht="18.0" customHeight="1">
      <c r="A22" s="20"/>
      <c r="B22" s="21"/>
      <c r="C22" s="22" t="s">
        <v>129</v>
      </c>
      <c r="D22" s="25" t="s">
        <v>212</v>
      </c>
      <c r="E22" s="24" t="s">
        <v>213</v>
      </c>
      <c r="F22" s="20"/>
    </row>
    <row r="23" ht="18.0" customHeight="1">
      <c r="A23" s="12"/>
      <c r="B23" s="13"/>
      <c r="C23" s="16" t="s">
        <v>214</v>
      </c>
      <c r="D23" s="18" t="s">
        <v>215</v>
      </c>
      <c r="E23" s="19" t="s">
        <v>216</v>
      </c>
      <c r="F23" s="26" t="s">
        <v>122</v>
      </c>
    </row>
    <row r="24" ht="18.0" customHeight="1">
      <c r="A24" s="20"/>
      <c r="B24" s="21"/>
      <c r="C24" s="22" t="s">
        <v>224</v>
      </c>
      <c r="D24" s="25" t="s">
        <v>225</v>
      </c>
      <c r="E24" s="24" t="s">
        <v>226</v>
      </c>
      <c r="F24" s="30" t="s">
        <v>108</v>
      </c>
    </row>
    <row r="25" ht="21.75" customHeight="1">
      <c r="A25" s="7" t="s">
        <v>229</v>
      </c>
      <c r="B25" s="9" t="s">
        <v>54</v>
      </c>
      <c r="C25" s="9" t="s">
        <v>230</v>
      </c>
      <c r="D25" s="11"/>
      <c r="E25" s="11"/>
      <c r="F25" s="7"/>
    </row>
    <row r="26" ht="18.0" customHeight="1">
      <c r="A26" s="12"/>
      <c r="B26" s="13"/>
      <c r="C26" s="16" t="s">
        <v>233</v>
      </c>
      <c r="D26" s="18" t="s">
        <v>234</v>
      </c>
      <c r="E26" s="19" t="s">
        <v>235</v>
      </c>
      <c r="F26" s="12"/>
    </row>
    <row r="27" ht="18.0" customHeight="1">
      <c r="A27" s="20"/>
      <c r="B27" s="21"/>
      <c r="C27" s="22" t="s">
        <v>236</v>
      </c>
      <c r="D27" s="25" t="s">
        <v>239</v>
      </c>
      <c r="E27" s="24" t="s">
        <v>240</v>
      </c>
      <c r="F27" s="20"/>
    </row>
    <row r="28" ht="18.0" customHeight="1">
      <c r="A28" s="12"/>
      <c r="B28" s="13"/>
      <c r="C28" s="16" t="s">
        <v>241</v>
      </c>
      <c r="D28" s="18" t="s">
        <v>242</v>
      </c>
      <c r="E28" s="19" t="s">
        <v>243</v>
      </c>
      <c r="F28" s="12"/>
    </row>
    <row r="29" ht="18.0" customHeight="1">
      <c r="A29" s="20"/>
      <c r="B29" s="21"/>
      <c r="C29" s="22" t="s">
        <v>129</v>
      </c>
      <c r="D29" s="25" t="s">
        <v>244</v>
      </c>
      <c r="E29" s="24" t="s">
        <v>245</v>
      </c>
      <c r="F29" s="20"/>
    </row>
    <row r="30" ht="18.0" customHeight="1">
      <c r="A30" s="12"/>
      <c r="B30" s="13"/>
      <c r="C30" s="16" t="s">
        <v>96</v>
      </c>
      <c r="D30" s="18" t="s">
        <v>246</v>
      </c>
      <c r="E30" s="19" t="s">
        <v>247</v>
      </c>
      <c r="F30" s="12"/>
    </row>
    <row r="31" ht="18.0" customHeight="1">
      <c r="A31" s="20"/>
      <c r="B31" s="21"/>
      <c r="C31" s="22" t="s">
        <v>134</v>
      </c>
      <c r="D31" s="25" t="s">
        <v>248</v>
      </c>
      <c r="E31" s="24" t="s">
        <v>247</v>
      </c>
      <c r="F31" s="20"/>
    </row>
    <row r="32" ht="21.75" customHeight="1">
      <c r="A32" s="7" t="s">
        <v>249</v>
      </c>
      <c r="B32" s="9" t="s">
        <v>250</v>
      </c>
      <c r="C32" s="9" t="s">
        <v>251</v>
      </c>
      <c r="D32" s="11"/>
      <c r="E32" s="11"/>
      <c r="F32" s="7"/>
    </row>
    <row r="33" ht="18.0" customHeight="1">
      <c r="A33" s="12"/>
      <c r="B33" s="13"/>
      <c r="C33" s="16" t="s">
        <v>233</v>
      </c>
      <c r="D33" s="18" t="s">
        <v>252</v>
      </c>
      <c r="E33" s="19" t="s">
        <v>253</v>
      </c>
      <c r="F33" s="12"/>
    </row>
    <row r="34" ht="18.0" customHeight="1">
      <c r="A34" s="20"/>
      <c r="B34" s="21"/>
      <c r="C34" s="22" t="s">
        <v>254</v>
      </c>
      <c r="D34" s="25" t="s">
        <v>255</v>
      </c>
      <c r="E34" s="24" t="s">
        <v>256</v>
      </c>
      <c r="F34" s="30" t="s">
        <v>257</v>
      </c>
    </row>
    <row r="35" ht="18.0" customHeight="1">
      <c r="A35" s="12"/>
      <c r="B35" s="13"/>
      <c r="C35" s="16" t="s">
        <v>261</v>
      </c>
      <c r="D35" s="18" t="s">
        <v>265</v>
      </c>
      <c r="E35" s="19" t="s">
        <v>266</v>
      </c>
      <c r="F35" s="12"/>
    </row>
    <row r="36" ht="18.0" customHeight="1">
      <c r="A36" s="20"/>
      <c r="B36" s="21"/>
      <c r="C36" s="22" t="s">
        <v>241</v>
      </c>
      <c r="D36" s="25" t="s">
        <v>269</v>
      </c>
      <c r="E36" s="24" t="s">
        <v>271</v>
      </c>
      <c r="F36" s="20"/>
    </row>
    <row r="37" ht="18.0" customHeight="1">
      <c r="A37" s="12"/>
      <c r="B37" s="13"/>
      <c r="C37" s="16" t="s">
        <v>273</v>
      </c>
      <c r="D37" s="18" t="s">
        <v>274</v>
      </c>
      <c r="E37" s="19" t="s">
        <v>275</v>
      </c>
      <c r="F37" s="12"/>
    </row>
    <row r="38" ht="18.0" customHeight="1">
      <c r="A38" s="20"/>
      <c r="B38" s="21"/>
      <c r="C38" s="22" t="s">
        <v>134</v>
      </c>
      <c r="D38" s="25" t="s">
        <v>276</v>
      </c>
      <c r="E38" s="24" t="s">
        <v>277</v>
      </c>
      <c r="F38" s="20"/>
    </row>
    <row r="39" ht="21.75" customHeight="1">
      <c r="A39" s="7" t="s">
        <v>278</v>
      </c>
      <c r="B39" s="9" t="s">
        <v>279</v>
      </c>
      <c r="C39" s="9" t="s">
        <v>280</v>
      </c>
      <c r="D39" s="11"/>
      <c r="E39" s="11"/>
      <c r="F39" s="7"/>
    </row>
    <row r="40" ht="18.0" customHeight="1">
      <c r="A40" s="12"/>
      <c r="B40" s="13"/>
      <c r="C40" s="16" t="s">
        <v>283</v>
      </c>
      <c r="D40" s="18" t="s">
        <v>284</v>
      </c>
      <c r="E40" s="19" t="s">
        <v>285</v>
      </c>
      <c r="F40" s="12"/>
    </row>
    <row r="41" ht="18.0" customHeight="1">
      <c r="A41" s="20"/>
      <c r="B41" s="21"/>
      <c r="C41" s="22" t="s">
        <v>286</v>
      </c>
      <c r="D41" s="25" t="s">
        <v>287</v>
      </c>
      <c r="E41" s="24" t="s">
        <v>288</v>
      </c>
      <c r="F41" s="20"/>
    </row>
    <row r="42" ht="18.0" customHeight="1">
      <c r="A42" s="12"/>
      <c r="B42" s="13"/>
      <c r="C42" s="16" t="s">
        <v>123</v>
      </c>
      <c r="D42" s="18" t="s">
        <v>289</v>
      </c>
      <c r="E42" s="19" t="s">
        <v>290</v>
      </c>
      <c r="F42" s="26" t="s">
        <v>108</v>
      </c>
    </row>
    <row r="43" ht="18.0" customHeight="1">
      <c r="A43" s="20"/>
      <c r="B43" s="21"/>
      <c r="C43" s="22" t="s">
        <v>82</v>
      </c>
      <c r="D43" s="25" t="s">
        <v>295</v>
      </c>
      <c r="E43" s="24" t="s">
        <v>285</v>
      </c>
      <c r="F43" s="20"/>
    </row>
    <row r="44" ht="18.0" customHeight="1">
      <c r="A44" s="12"/>
      <c r="B44" s="13"/>
      <c r="C44" s="16" t="s">
        <v>129</v>
      </c>
      <c r="D44" s="18" t="s">
        <v>297</v>
      </c>
      <c r="E44" s="19" t="s">
        <v>298</v>
      </c>
      <c r="F44" s="12"/>
    </row>
    <row r="45" ht="18.0" customHeight="1">
      <c r="A45" s="20"/>
      <c r="B45" s="21"/>
      <c r="C45" s="22" t="s">
        <v>134</v>
      </c>
      <c r="D45" s="25" t="s">
        <v>299</v>
      </c>
      <c r="E45" s="24" t="s">
        <v>300</v>
      </c>
      <c r="F45" s="30" t="s">
        <v>108</v>
      </c>
    </row>
    <row r="46" ht="21.75" customHeight="1">
      <c r="A46" s="7" t="s">
        <v>305</v>
      </c>
      <c r="B46" s="9" t="s">
        <v>77</v>
      </c>
      <c r="C46" s="9" t="s">
        <v>306</v>
      </c>
      <c r="D46" s="11"/>
      <c r="E46" s="11"/>
      <c r="F46" s="7"/>
    </row>
    <row r="47" ht="18.0" customHeight="1">
      <c r="A47" s="12"/>
      <c r="B47" s="13"/>
      <c r="C47" s="16" t="s">
        <v>307</v>
      </c>
      <c r="D47" s="18" t="s">
        <v>308</v>
      </c>
      <c r="E47" s="19" t="s">
        <v>253</v>
      </c>
      <c r="F47" s="12"/>
    </row>
    <row r="48" ht="18.0" customHeight="1">
      <c r="A48" s="20"/>
      <c r="B48" s="21"/>
      <c r="C48" s="22" t="s">
        <v>286</v>
      </c>
      <c r="D48" s="25" t="s">
        <v>310</v>
      </c>
      <c r="E48" s="24" t="s">
        <v>141</v>
      </c>
      <c r="F48" s="30" t="s">
        <v>58</v>
      </c>
    </row>
    <row r="49" ht="18.0" customHeight="1">
      <c r="A49" s="12"/>
      <c r="B49" s="13"/>
      <c r="C49" s="16" t="s">
        <v>80</v>
      </c>
      <c r="D49" s="18" t="s">
        <v>315</v>
      </c>
      <c r="E49" s="19" t="s">
        <v>316</v>
      </c>
      <c r="F49" s="26" t="s">
        <v>122</v>
      </c>
    </row>
    <row r="50" ht="18.0" customHeight="1">
      <c r="A50" s="20"/>
      <c r="B50" s="21"/>
      <c r="C50" s="22" t="s">
        <v>241</v>
      </c>
      <c r="D50" s="25" t="s">
        <v>321</v>
      </c>
      <c r="E50" s="24" t="s">
        <v>141</v>
      </c>
      <c r="F50" s="30" t="s">
        <v>122</v>
      </c>
    </row>
    <row r="51" ht="18.0" customHeight="1">
      <c r="A51" s="12"/>
      <c r="B51" s="13"/>
      <c r="C51" s="16" t="s">
        <v>91</v>
      </c>
      <c r="D51" s="18" t="s">
        <v>322</v>
      </c>
      <c r="E51" s="19" t="s">
        <v>93</v>
      </c>
      <c r="F51" s="26" t="s">
        <v>58</v>
      </c>
    </row>
    <row r="52" ht="18.0" customHeight="1">
      <c r="A52" s="20"/>
      <c r="B52" s="21"/>
      <c r="C52" s="22" t="s">
        <v>324</v>
      </c>
      <c r="D52" s="25" t="s">
        <v>325</v>
      </c>
      <c r="E52" s="24" t="s">
        <v>326</v>
      </c>
      <c r="F52" s="30" t="s">
        <v>122</v>
      </c>
    </row>
    <row r="53" ht="18.0" customHeight="1">
      <c r="A53" s="12"/>
      <c r="B53" s="13"/>
      <c r="C53" s="16" t="s">
        <v>327</v>
      </c>
      <c r="D53" s="18" t="s">
        <v>328</v>
      </c>
      <c r="E53" s="19" t="s">
        <v>107</v>
      </c>
      <c r="F53" s="26" t="s">
        <v>108</v>
      </c>
    </row>
    <row r="54" ht="21.75" customHeight="1">
      <c r="A54" s="7" t="s">
        <v>329</v>
      </c>
      <c r="B54" s="9" t="s">
        <v>330</v>
      </c>
      <c r="C54" s="9" t="s">
        <v>331</v>
      </c>
      <c r="D54" s="11"/>
      <c r="E54" s="11"/>
      <c r="F54" s="7"/>
    </row>
    <row r="55" ht="18.0" customHeight="1">
      <c r="A55" s="12"/>
      <c r="B55" s="13"/>
      <c r="C55" s="16" t="s">
        <v>164</v>
      </c>
      <c r="D55" s="18" t="s">
        <v>332</v>
      </c>
      <c r="E55" s="19" t="s">
        <v>141</v>
      </c>
      <c r="F55" s="26" t="s">
        <v>122</v>
      </c>
    </row>
    <row r="56" ht="18.0" customHeight="1">
      <c r="A56" s="20"/>
      <c r="B56" s="21"/>
      <c r="C56" s="22" t="s">
        <v>286</v>
      </c>
      <c r="D56" s="25" t="s">
        <v>333</v>
      </c>
      <c r="E56" s="24" t="s">
        <v>334</v>
      </c>
      <c r="F56" s="20"/>
    </row>
    <row r="57" ht="18.0" customHeight="1">
      <c r="A57" s="12"/>
      <c r="B57" s="13"/>
      <c r="C57" s="16" t="s">
        <v>123</v>
      </c>
      <c r="D57" s="18" t="s">
        <v>335</v>
      </c>
      <c r="E57" s="19" t="s">
        <v>336</v>
      </c>
      <c r="F57" s="26" t="s">
        <v>108</v>
      </c>
    </row>
    <row r="58" ht="18.0" customHeight="1">
      <c r="A58" s="20"/>
      <c r="B58" s="21"/>
      <c r="C58" s="22" t="s">
        <v>82</v>
      </c>
      <c r="D58" s="25" t="s">
        <v>337</v>
      </c>
      <c r="E58" s="24" t="s">
        <v>338</v>
      </c>
      <c r="F58" s="20"/>
    </row>
    <row r="59" ht="18.0" customHeight="1">
      <c r="A59" s="12"/>
      <c r="B59" s="13"/>
      <c r="C59" s="16" t="s">
        <v>273</v>
      </c>
      <c r="D59" s="18" t="s">
        <v>339</v>
      </c>
      <c r="E59" s="19" t="s">
        <v>340</v>
      </c>
      <c r="F59" s="12"/>
    </row>
    <row r="60" ht="18.0" customHeight="1">
      <c r="A60" s="20"/>
      <c r="B60" s="21"/>
      <c r="C60" s="22" t="s">
        <v>134</v>
      </c>
      <c r="D60" s="25" t="s">
        <v>341</v>
      </c>
      <c r="E60" s="24" t="s">
        <v>342</v>
      </c>
      <c r="F60" s="30" t="s">
        <v>108</v>
      </c>
    </row>
    <row r="61" ht="21.75" customHeight="1">
      <c r="A61" s="7" t="s">
        <v>343</v>
      </c>
      <c r="B61" s="9" t="s">
        <v>90</v>
      </c>
      <c r="C61" s="9" t="s">
        <v>344</v>
      </c>
      <c r="D61" s="11"/>
      <c r="E61" s="11"/>
      <c r="F61" s="7"/>
    </row>
    <row r="62" ht="18.0" customHeight="1">
      <c r="A62" s="12"/>
      <c r="B62" s="13"/>
      <c r="C62" s="16" t="s">
        <v>345</v>
      </c>
      <c r="D62" s="18" t="s">
        <v>346</v>
      </c>
      <c r="E62" s="19" t="s">
        <v>347</v>
      </c>
      <c r="F62" s="12"/>
    </row>
    <row r="63" ht="18.0" customHeight="1">
      <c r="A63" s="20"/>
      <c r="B63" s="21"/>
      <c r="C63" s="22" t="s">
        <v>307</v>
      </c>
      <c r="D63" s="25" t="s">
        <v>348</v>
      </c>
      <c r="E63" s="24" t="s">
        <v>349</v>
      </c>
      <c r="F63" s="30" t="s">
        <v>350</v>
      </c>
    </row>
    <row r="64" ht="18.0" customHeight="1">
      <c r="A64" s="12"/>
      <c r="B64" s="13"/>
      <c r="C64" s="16" t="s">
        <v>123</v>
      </c>
      <c r="D64" s="18" t="s">
        <v>351</v>
      </c>
      <c r="E64" s="19" t="s">
        <v>352</v>
      </c>
      <c r="F64" s="12"/>
    </row>
    <row r="65" ht="18.0" customHeight="1">
      <c r="A65" s="20"/>
      <c r="B65" s="21"/>
      <c r="C65" s="22" t="s">
        <v>80</v>
      </c>
      <c r="D65" s="25" t="s">
        <v>353</v>
      </c>
      <c r="E65" s="24" t="s">
        <v>354</v>
      </c>
      <c r="F65" s="30" t="s">
        <v>122</v>
      </c>
    </row>
    <row r="66" ht="18.0" customHeight="1">
      <c r="A66" s="12"/>
      <c r="B66" s="13"/>
      <c r="C66" s="16" t="s">
        <v>355</v>
      </c>
      <c r="D66" s="18" t="s">
        <v>356</v>
      </c>
      <c r="E66" s="19" t="s">
        <v>357</v>
      </c>
      <c r="F66" s="26" t="s">
        <v>122</v>
      </c>
    </row>
    <row r="67" ht="18.0" customHeight="1">
      <c r="A67" s="20"/>
      <c r="B67" s="21"/>
      <c r="C67" s="22" t="s">
        <v>91</v>
      </c>
      <c r="D67" s="25" t="s">
        <v>358</v>
      </c>
      <c r="E67" s="24" t="s">
        <v>359</v>
      </c>
      <c r="F67" s="30" t="s">
        <v>58</v>
      </c>
    </row>
    <row r="68" ht="18.0" customHeight="1">
      <c r="A68" s="12"/>
      <c r="B68" s="13"/>
      <c r="C68" s="16" t="s">
        <v>324</v>
      </c>
      <c r="D68" s="18" t="s">
        <v>360</v>
      </c>
      <c r="E68" s="19" t="s">
        <v>93</v>
      </c>
      <c r="F68" s="12"/>
    </row>
    <row r="69" ht="18.0" customHeight="1">
      <c r="A69" s="20"/>
      <c r="B69" s="21"/>
      <c r="C69" s="22" t="s">
        <v>224</v>
      </c>
      <c r="D69" s="25" t="s">
        <v>361</v>
      </c>
      <c r="E69" s="24" t="s">
        <v>93</v>
      </c>
      <c r="F69" s="30" t="s">
        <v>108</v>
      </c>
    </row>
    <row r="70" ht="21.75" customHeight="1">
      <c r="A70" s="7" t="s">
        <v>362</v>
      </c>
      <c r="B70" s="9" t="s">
        <v>363</v>
      </c>
      <c r="C70" s="9" t="s">
        <v>364</v>
      </c>
      <c r="D70" s="11"/>
      <c r="E70" s="11"/>
      <c r="F70" s="7"/>
    </row>
    <row r="71" ht="18.0" customHeight="1">
      <c r="A71" s="12"/>
      <c r="B71" s="13"/>
      <c r="C71" s="16" t="s">
        <v>233</v>
      </c>
      <c r="D71" s="18" t="s">
        <v>365</v>
      </c>
      <c r="E71" s="19" t="s">
        <v>366</v>
      </c>
      <c r="F71" s="26" t="s">
        <v>350</v>
      </c>
    </row>
    <row r="72" ht="18.0" customHeight="1">
      <c r="A72" s="20"/>
      <c r="B72" s="21"/>
      <c r="C72" s="22" t="s">
        <v>367</v>
      </c>
      <c r="D72" s="25" t="s">
        <v>368</v>
      </c>
      <c r="E72" s="24" t="s">
        <v>369</v>
      </c>
      <c r="F72" s="20"/>
    </row>
    <row r="73" ht="18.0" customHeight="1">
      <c r="A73" s="12"/>
      <c r="B73" s="13"/>
      <c r="C73" s="16" t="s">
        <v>123</v>
      </c>
      <c r="D73" s="18" t="s">
        <v>370</v>
      </c>
      <c r="E73" s="19" t="s">
        <v>371</v>
      </c>
      <c r="F73" s="26" t="s">
        <v>108</v>
      </c>
    </row>
    <row r="74" ht="18.0" customHeight="1">
      <c r="A74" s="20"/>
      <c r="B74" s="21"/>
      <c r="C74" s="22" t="s">
        <v>241</v>
      </c>
      <c r="D74" s="25" t="s">
        <v>372</v>
      </c>
      <c r="E74" s="24" t="s">
        <v>373</v>
      </c>
      <c r="F74" s="20"/>
    </row>
    <row r="75" ht="18.0" customHeight="1">
      <c r="A75" s="12"/>
      <c r="B75" s="13"/>
      <c r="C75" s="16" t="s">
        <v>129</v>
      </c>
      <c r="D75" s="18" t="s">
        <v>374</v>
      </c>
      <c r="E75" s="19" t="s">
        <v>375</v>
      </c>
      <c r="F75" s="12"/>
    </row>
    <row r="76" ht="18.0" customHeight="1">
      <c r="A76" s="20"/>
      <c r="B76" s="21"/>
      <c r="C76" s="22" t="s">
        <v>224</v>
      </c>
      <c r="D76" s="25" t="s">
        <v>376</v>
      </c>
      <c r="E76" s="24" t="s">
        <v>377</v>
      </c>
      <c r="F76" s="30" t="s">
        <v>108</v>
      </c>
    </row>
    <row r="77" ht="21.75" customHeight="1">
      <c r="A77" s="7" t="s">
        <v>378</v>
      </c>
      <c r="B77" s="9" t="s">
        <v>379</v>
      </c>
      <c r="C77" s="9" t="s">
        <v>380</v>
      </c>
      <c r="D77" s="11"/>
      <c r="E77" s="11"/>
      <c r="F77" s="7"/>
    </row>
    <row r="78" ht="18.0" customHeight="1">
      <c r="A78" s="12"/>
      <c r="B78" s="13"/>
      <c r="C78" s="16" t="s">
        <v>345</v>
      </c>
      <c r="D78" s="18" t="s">
        <v>381</v>
      </c>
      <c r="E78" s="19" t="s">
        <v>382</v>
      </c>
      <c r="F78" s="12"/>
    </row>
    <row r="79" ht="18.0" customHeight="1">
      <c r="A79" s="20"/>
      <c r="B79" s="21"/>
      <c r="C79" s="22" t="s">
        <v>236</v>
      </c>
      <c r="D79" s="25" t="s">
        <v>383</v>
      </c>
      <c r="E79" s="24" t="s">
        <v>384</v>
      </c>
      <c r="F79" s="30" t="s">
        <v>108</v>
      </c>
    </row>
    <row r="80" ht="18.0" customHeight="1">
      <c r="A80" s="12"/>
      <c r="B80" s="13"/>
      <c r="C80" s="16" t="s">
        <v>82</v>
      </c>
      <c r="D80" s="18" t="s">
        <v>385</v>
      </c>
      <c r="E80" s="19" t="s">
        <v>253</v>
      </c>
      <c r="F80" s="12"/>
    </row>
    <row r="81" ht="18.0" customHeight="1">
      <c r="A81" s="20"/>
      <c r="B81" s="21"/>
      <c r="C81" s="22" t="s">
        <v>386</v>
      </c>
      <c r="D81" s="25" t="s">
        <v>387</v>
      </c>
      <c r="E81" s="24" t="s">
        <v>388</v>
      </c>
      <c r="F81" s="20"/>
    </row>
    <row r="82" ht="18.0" customHeight="1">
      <c r="A82" s="12"/>
      <c r="B82" s="13"/>
      <c r="C82" s="16" t="s">
        <v>389</v>
      </c>
      <c r="D82" s="18" t="s">
        <v>390</v>
      </c>
      <c r="E82" s="19" t="s">
        <v>133</v>
      </c>
      <c r="F82" s="26" t="s">
        <v>122</v>
      </c>
    </row>
    <row r="83" ht="18.0" customHeight="1">
      <c r="A83" s="20"/>
      <c r="B83" s="21"/>
      <c r="C83" s="22" t="s">
        <v>96</v>
      </c>
      <c r="D83" s="25" t="s">
        <v>391</v>
      </c>
      <c r="E83" s="24" t="s">
        <v>392</v>
      </c>
      <c r="F83" s="30" t="s">
        <v>122</v>
      </c>
    </row>
    <row r="84" ht="18.0" customHeight="1">
      <c r="A84" s="12"/>
      <c r="B84" s="13"/>
      <c r="C84" s="16" t="s">
        <v>327</v>
      </c>
      <c r="D84" s="18" t="s">
        <v>393</v>
      </c>
      <c r="E84" s="19" t="s">
        <v>394</v>
      </c>
      <c r="F84" s="26" t="s">
        <v>108</v>
      </c>
    </row>
    <row r="85" ht="21.75" customHeight="1">
      <c r="A85" s="7" t="s">
        <v>395</v>
      </c>
      <c r="B85" s="9" t="s">
        <v>103</v>
      </c>
      <c r="C85" s="9" t="s">
        <v>396</v>
      </c>
      <c r="D85" s="11"/>
      <c r="E85" s="11"/>
      <c r="F85" s="7"/>
    </row>
    <row r="86" ht="18.0" customHeight="1">
      <c r="A86" s="12"/>
      <c r="B86" s="13"/>
      <c r="C86" s="16" t="s">
        <v>307</v>
      </c>
      <c r="D86" s="18" t="s">
        <v>397</v>
      </c>
      <c r="E86" s="19"/>
      <c r="F86" s="12"/>
    </row>
    <row r="87" ht="18.0" customHeight="1">
      <c r="A87" s="20"/>
      <c r="B87" s="21"/>
      <c r="C87" s="22" t="s">
        <v>254</v>
      </c>
      <c r="D87" s="25" t="s">
        <v>398</v>
      </c>
      <c r="E87" s="24" t="s">
        <v>399</v>
      </c>
      <c r="F87" s="20"/>
    </row>
    <row r="88" ht="18.0" customHeight="1">
      <c r="A88" s="12"/>
      <c r="B88" s="13"/>
      <c r="C88" s="16" t="s">
        <v>236</v>
      </c>
      <c r="D88" s="18" t="s">
        <v>400</v>
      </c>
      <c r="E88" s="19" t="s">
        <v>401</v>
      </c>
      <c r="F88" s="26" t="s">
        <v>58</v>
      </c>
    </row>
    <row r="89" ht="18.0" customHeight="1">
      <c r="A89" s="20"/>
      <c r="B89" s="21"/>
      <c r="C89" s="22" t="s">
        <v>80</v>
      </c>
      <c r="D89" s="25" t="s">
        <v>402</v>
      </c>
      <c r="E89" s="24" t="s">
        <v>131</v>
      </c>
      <c r="F89" s="30" t="s">
        <v>122</v>
      </c>
    </row>
    <row r="90" ht="18.0" customHeight="1">
      <c r="A90" s="12"/>
      <c r="B90" s="13"/>
      <c r="C90" s="16" t="s">
        <v>355</v>
      </c>
      <c r="D90" s="18" t="s">
        <v>403</v>
      </c>
      <c r="E90" s="19" t="s">
        <v>404</v>
      </c>
      <c r="F90" s="26" t="s">
        <v>405</v>
      </c>
    </row>
    <row r="91" ht="18.0" customHeight="1">
      <c r="A91" s="20"/>
      <c r="B91" s="21"/>
      <c r="C91" s="22" t="s">
        <v>91</v>
      </c>
      <c r="D91" s="25" t="s">
        <v>406</v>
      </c>
      <c r="E91" s="24" t="s">
        <v>133</v>
      </c>
      <c r="F91" s="20"/>
    </row>
    <row r="92" ht="18.0" customHeight="1">
      <c r="A92" s="12"/>
      <c r="B92" s="13"/>
      <c r="C92" s="16" t="s">
        <v>96</v>
      </c>
      <c r="D92" s="18" t="s">
        <v>407</v>
      </c>
      <c r="E92" s="19" t="s">
        <v>93</v>
      </c>
      <c r="F92" s="12"/>
    </row>
    <row r="93" ht="18.0" customHeight="1">
      <c r="A93" s="20"/>
      <c r="B93" s="21"/>
      <c r="C93" s="22" t="s">
        <v>224</v>
      </c>
      <c r="D93" s="25" t="s">
        <v>408</v>
      </c>
      <c r="E93" s="24" t="s">
        <v>409</v>
      </c>
      <c r="F93" s="20"/>
    </row>
    <row r="94" ht="21.75" customHeight="1">
      <c r="A94" s="7" t="s">
        <v>410</v>
      </c>
      <c r="B94" s="9" t="s">
        <v>112</v>
      </c>
      <c r="C94" s="9" t="s">
        <v>411</v>
      </c>
      <c r="D94" s="11"/>
      <c r="E94" s="11"/>
      <c r="F94" s="7"/>
    </row>
    <row r="95" ht="18.0" customHeight="1">
      <c r="A95" s="12"/>
      <c r="B95" s="13"/>
      <c r="C95" s="16" t="s">
        <v>345</v>
      </c>
      <c r="D95" s="18" t="s">
        <v>412</v>
      </c>
      <c r="E95" s="19" t="s">
        <v>316</v>
      </c>
      <c r="F95" s="26" t="s">
        <v>405</v>
      </c>
    </row>
    <row r="96" ht="18.0" customHeight="1">
      <c r="A96" s="20"/>
      <c r="B96" s="21"/>
      <c r="C96" s="22" t="s">
        <v>367</v>
      </c>
      <c r="D96" s="25" t="s">
        <v>413</v>
      </c>
      <c r="E96" s="24" t="s">
        <v>131</v>
      </c>
      <c r="F96" s="20"/>
    </row>
    <row r="97" ht="18.0" customHeight="1">
      <c r="A97" s="12"/>
      <c r="B97" s="13"/>
      <c r="C97" s="16" t="s">
        <v>254</v>
      </c>
      <c r="D97" s="18" t="s">
        <v>414</v>
      </c>
      <c r="E97" s="19" t="s">
        <v>415</v>
      </c>
      <c r="F97" s="26" t="s">
        <v>350</v>
      </c>
    </row>
    <row r="98" ht="18.0" customHeight="1">
      <c r="A98" s="20"/>
      <c r="B98" s="21"/>
      <c r="C98" s="22" t="s">
        <v>236</v>
      </c>
      <c r="D98" s="25" t="s">
        <v>416</v>
      </c>
      <c r="E98" s="24" t="s">
        <v>417</v>
      </c>
      <c r="F98" s="30" t="s">
        <v>58</v>
      </c>
    </row>
    <row r="99" ht="18.0" customHeight="1">
      <c r="A99" s="12"/>
      <c r="B99" s="13"/>
      <c r="C99" s="16" t="s">
        <v>80</v>
      </c>
      <c r="D99" s="18" t="s">
        <v>418</v>
      </c>
      <c r="E99" s="19" t="s">
        <v>419</v>
      </c>
      <c r="F99" s="12"/>
    </row>
    <row r="100" ht="18.0" customHeight="1">
      <c r="A100" s="20"/>
      <c r="B100" s="21"/>
      <c r="C100" s="22" t="s">
        <v>91</v>
      </c>
      <c r="D100" s="25" t="s">
        <v>420</v>
      </c>
      <c r="E100" s="24" t="s">
        <v>93</v>
      </c>
      <c r="F100" s="20"/>
    </row>
    <row r="101" ht="18.0" customHeight="1">
      <c r="A101" s="12"/>
      <c r="B101" s="13"/>
      <c r="C101" s="16" t="s">
        <v>134</v>
      </c>
      <c r="D101" s="18" t="s">
        <v>421</v>
      </c>
      <c r="E101" s="19" t="s">
        <v>409</v>
      </c>
      <c r="F101" s="26" t="s">
        <v>122</v>
      </c>
    </row>
    <row r="102" ht="21.75" customHeight="1">
      <c r="A102" s="7" t="s">
        <v>422</v>
      </c>
      <c r="B102" s="9" t="s">
        <v>121</v>
      </c>
      <c r="C102" s="9" t="s">
        <v>423</v>
      </c>
      <c r="D102" s="11"/>
      <c r="E102" s="11"/>
      <c r="F102" s="7"/>
    </row>
    <row r="103" ht="18.0" customHeight="1">
      <c r="A103" s="12"/>
      <c r="B103" s="13"/>
      <c r="C103" s="16" t="s">
        <v>424</v>
      </c>
      <c r="D103" s="18" t="s">
        <v>425</v>
      </c>
      <c r="E103" s="19" t="s">
        <v>426</v>
      </c>
      <c r="F103" s="26" t="s">
        <v>58</v>
      </c>
    </row>
    <row r="104" ht="18.0" customHeight="1">
      <c r="A104" s="20"/>
      <c r="B104" s="21"/>
      <c r="C104" s="22" t="s">
        <v>427</v>
      </c>
      <c r="D104" s="25" t="s">
        <v>428</v>
      </c>
      <c r="E104" s="24" t="s">
        <v>429</v>
      </c>
      <c r="F104" s="20"/>
    </row>
    <row r="105" ht="18.0" customHeight="1">
      <c r="A105" s="12"/>
      <c r="B105" s="13"/>
      <c r="C105" s="16" t="s">
        <v>430</v>
      </c>
      <c r="D105" s="18" t="s">
        <v>431</v>
      </c>
      <c r="E105" s="19" t="s">
        <v>432</v>
      </c>
      <c r="F105" s="1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9"/>
    <hyperlink r:id="rId2" ref="F11"/>
    <hyperlink r:id="rId3" ref="F16"/>
    <hyperlink r:id="rId4" ref="F17"/>
    <hyperlink r:id="rId5" ref="F19"/>
    <hyperlink r:id="rId6" ref="F20"/>
    <hyperlink r:id="rId7" ref="F23"/>
    <hyperlink r:id="rId8" ref="F24"/>
    <hyperlink r:id="rId9" ref="F34"/>
    <hyperlink r:id="rId10" ref="F42"/>
    <hyperlink r:id="rId11" ref="F45"/>
    <hyperlink r:id="rId12" ref="F48"/>
    <hyperlink r:id="rId13" ref="F49"/>
    <hyperlink r:id="rId14" ref="F50"/>
    <hyperlink r:id="rId15" ref="F51"/>
    <hyperlink r:id="rId16" ref="F52"/>
    <hyperlink r:id="rId17" ref="F53"/>
    <hyperlink r:id="rId18" ref="F55"/>
    <hyperlink r:id="rId19" ref="F57"/>
    <hyperlink r:id="rId20" ref="F60"/>
    <hyperlink r:id="rId21" ref="F63"/>
    <hyperlink r:id="rId22" ref="F65"/>
    <hyperlink r:id="rId23" ref="F66"/>
    <hyperlink r:id="rId24" ref="F67"/>
    <hyperlink r:id="rId25" ref="F69"/>
    <hyperlink r:id="rId26" ref="F71"/>
    <hyperlink r:id="rId27" ref="F73"/>
    <hyperlink r:id="rId28" ref="F76"/>
    <hyperlink r:id="rId29" ref="F79"/>
    <hyperlink r:id="rId30" ref="F82"/>
    <hyperlink r:id="rId31" ref="F83"/>
    <hyperlink r:id="rId32" ref="F84"/>
    <hyperlink r:id="rId33" ref="F88"/>
    <hyperlink r:id="rId34" ref="F89"/>
    <hyperlink r:id="rId35" ref="F90"/>
    <hyperlink r:id="rId36" ref="F95"/>
    <hyperlink r:id="rId37" ref="F97"/>
    <hyperlink r:id="rId38" ref="F98"/>
    <hyperlink r:id="rId39" ref="F101"/>
    <hyperlink r:id="rId40" ref="F103"/>
  </hyperlinks>
  <printOptions/>
  <pageMargins bottom="1.0" footer="0.0" header="0.0" left="0.75" right="0.75" top="1.0"/>
  <pageSetup orientation="landscape"/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2.0"/>
    <col customWidth="1" min="4" max="5" width="12.0"/>
    <col customWidth="1" min="6" max="6" width="7.0"/>
    <col customWidth="1" min="7" max="7" width="17.0"/>
    <col customWidth="1" min="8" max="8" width="16.0"/>
    <col customWidth="1" min="9" max="9" width="14.0"/>
    <col customWidth="1" min="10" max="26" width="8.71"/>
  </cols>
  <sheetData>
    <row r="1">
      <c r="A1" s="4" t="s">
        <v>3</v>
      </c>
      <c r="B1" s="4" t="s">
        <v>16</v>
      </c>
      <c r="C1" s="4" t="s">
        <v>20</v>
      </c>
      <c r="D1" s="4" t="s">
        <v>31</v>
      </c>
      <c r="E1" s="4" t="s">
        <v>36</v>
      </c>
      <c r="F1" s="4" t="s">
        <v>40</v>
      </c>
      <c r="G1" s="4" t="s">
        <v>43</v>
      </c>
      <c r="H1" s="4" t="s">
        <v>45</v>
      </c>
      <c r="I1" s="4" t="s">
        <v>47</v>
      </c>
    </row>
    <row r="2">
      <c r="A2" s="6" t="s">
        <v>49</v>
      </c>
      <c r="B2" s="6" t="s">
        <v>50</v>
      </c>
      <c r="C2" s="6" t="s">
        <v>52</v>
      </c>
      <c r="D2" s="6" t="s">
        <v>51</v>
      </c>
      <c r="E2" s="6" t="s">
        <v>54</v>
      </c>
      <c r="F2" s="6">
        <v>3.0</v>
      </c>
      <c r="G2" s="10">
        <v>500.0</v>
      </c>
      <c r="H2" s="10">
        <v>1500.0</v>
      </c>
      <c r="I2" s="15" t="s">
        <v>58</v>
      </c>
    </row>
    <row r="3">
      <c r="A3" s="6" t="s">
        <v>72</v>
      </c>
      <c r="B3" s="6" t="s">
        <v>74</v>
      </c>
      <c r="C3" s="6" t="s">
        <v>76</v>
      </c>
      <c r="D3" s="6" t="s">
        <v>54</v>
      </c>
      <c r="E3" s="6" t="s">
        <v>77</v>
      </c>
      <c r="F3" s="6">
        <v>3.0</v>
      </c>
      <c r="G3" s="8">
        <v>1250.0</v>
      </c>
      <c r="H3" s="8">
        <v>3750.0</v>
      </c>
      <c r="I3" s="15" t="s">
        <v>58</v>
      </c>
    </row>
    <row r="4">
      <c r="A4" s="6" t="s">
        <v>86</v>
      </c>
      <c r="B4" s="6" t="s">
        <v>87</v>
      </c>
      <c r="C4" s="6" t="s">
        <v>88</v>
      </c>
      <c r="D4" s="6" t="s">
        <v>77</v>
      </c>
      <c r="E4" s="6" t="s">
        <v>90</v>
      </c>
      <c r="F4" s="6">
        <v>2.0</v>
      </c>
      <c r="G4" s="8">
        <v>735.0</v>
      </c>
      <c r="H4" s="8">
        <v>1470.0</v>
      </c>
      <c r="I4" s="15" t="s">
        <v>58</v>
      </c>
    </row>
    <row r="5">
      <c r="A5" s="6" t="s">
        <v>99</v>
      </c>
      <c r="B5" s="6" t="s">
        <v>100</v>
      </c>
      <c r="C5" s="6" t="s">
        <v>101</v>
      </c>
      <c r="D5" s="6" t="s">
        <v>90</v>
      </c>
      <c r="E5" s="6" t="s">
        <v>103</v>
      </c>
      <c r="F5" s="6">
        <v>3.0</v>
      </c>
      <c r="G5" s="8">
        <v>1500.0</v>
      </c>
      <c r="H5" s="8">
        <v>4500.0</v>
      </c>
      <c r="I5" s="15" t="s">
        <v>58</v>
      </c>
    </row>
    <row r="6">
      <c r="A6" s="6" t="s">
        <v>109</v>
      </c>
      <c r="B6" s="6" t="s">
        <v>110</v>
      </c>
      <c r="C6" s="6" t="s">
        <v>111</v>
      </c>
      <c r="D6" s="6" t="s">
        <v>103</v>
      </c>
      <c r="E6" s="6" t="s">
        <v>112</v>
      </c>
      <c r="F6" s="6">
        <v>1.0</v>
      </c>
      <c r="G6" s="8">
        <v>500.0</v>
      </c>
      <c r="H6" s="8">
        <v>500.0</v>
      </c>
      <c r="I6" s="15" t="s">
        <v>58</v>
      </c>
    </row>
    <row r="7">
      <c r="A7" s="6" t="s">
        <v>116</v>
      </c>
      <c r="B7" s="27" t="s">
        <v>117</v>
      </c>
      <c r="C7" s="6" t="s">
        <v>120</v>
      </c>
      <c r="D7" s="6" t="s">
        <v>112</v>
      </c>
      <c r="E7" s="6" t="s">
        <v>121</v>
      </c>
      <c r="F7" s="6">
        <v>1.0</v>
      </c>
      <c r="G7" s="8">
        <v>1000.0</v>
      </c>
      <c r="H7" s="8">
        <v>1000.0</v>
      </c>
      <c r="I7" s="15" t="s">
        <v>58</v>
      </c>
    </row>
    <row r="8">
      <c r="A8" s="28"/>
      <c r="B8" s="28"/>
      <c r="C8" s="28"/>
      <c r="D8" s="28"/>
      <c r="E8" s="28" t="s">
        <v>64</v>
      </c>
      <c r="F8" s="28">
        <v>13.0</v>
      </c>
      <c r="G8" s="29"/>
      <c r="H8" s="29">
        <f>SUM(H2:H7)</f>
        <v>12720</v>
      </c>
      <c r="I8" s="28"/>
    </row>
    <row r="12">
      <c r="B12" s="3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B12"/>
  </hyperlinks>
  <printOptions/>
  <pageMargins bottom="1.0" footer="0.0" header="0.0" left="0.75" right="0.75" top="1.0"/>
  <pageSetup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8.0"/>
    <col customWidth="1" min="3" max="3" width="52.0"/>
    <col customWidth="1" min="4" max="26" width="8.71"/>
  </cols>
  <sheetData>
    <row r="1">
      <c r="A1" s="4" t="s">
        <v>2</v>
      </c>
      <c r="B1" s="4" t="s">
        <v>24</v>
      </c>
      <c r="C1" s="4" t="s">
        <v>28</v>
      </c>
    </row>
    <row r="2">
      <c r="A2" s="6" t="s">
        <v>34</v>
      </c>
      <c r="B2" s="8">
        <v>12270.0</v>
      </c>
      <c r="C2" s="3" t="s">
        <v>53</v>
      </c>
    </row>
    <row r="3">
      <c r="A3" s="6" t="s">
        <v>15</v>
      </c>
      <c r="B3" s="8">
        <v>3100.0</v>
      </c>
      <c r="C3" s="3" t="s">
        <v>56</v>
      </c>
    </row>
    <row r="4">
      <c r="A4" s="6" t="s">
        <v>57</v>
      </c>
      <c r="B4" s="8">
        <v>2100.0</v>
      </c>
      <c r="C4" s="3" t="s">
        <v>59</v>
      </c>
    </row>
    <row r="5">
      <c r="A5" s="6" t="s">
        <v>60</v>
      </c>
      <c r="B5" s="8">
        <v>2400.0</v>
      </c>
      <c r="C5" s="3" t="s">
        <v>61</v>
      </c>
    </row>
    <row r="6">
      <c r="A6" s="6" t="s">
        <v>62</v>
      </c>
      <c r="B6" s="8">
        <v>400.0</v>
      </c>
      <c r="C6" s="3" t="s">
        <v>63</v>
      </c>
    </row>
    <row r="7">
      <c r="A7" s="14" t="s">
        <v>64</v>
      </c>
      <c r="B7" s="17">
        <v>20270.0</v>
      </c>
      <c r="C7" s="3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52.0"/>
    <col customWidth="1" min="4" max="5" width="13.0"/>
    <col customWidth="1" min="6" max="26" width="8.71"/>
  </cols>
  <sheetData>
    <row r="1">
      <c r="A1" s="4" t="s">
        <v>14</v>
      </c>
      <c r="B1" s="4" t="s">
        <v>140</v>
      </c>
      <c r="C1" s="4" t="s">
        <v>12</v>
      </c>
      <c r="D1" s="4" t="s">
        <v>142</v>
      </c>
      <c r="E1" s="4" t="s">
        <v>143</v>
      </c>
    </row>
    <row r="2">
      <c r="A2" s="6" t="s">
        <v>144</v>
      </c>
      <c r="B2" s="6" t="s">
        <v>145</v>
      </c>
      <c r="C2" s="3" t="s">
        <v>146</v>
      </c>
      <c r="D2" s="6" t="s">
        <v>147</v>
      </c>
      <c r="E2" s="15" t="s">
        <v>148</v>
      </c>
    </row>
    <row r="3">
      <c r="A3" s="6" t="s">
        <v>154</v>
      </c>
      <c r="B3" s="6" t="s">
        <v>156</v>
      </c>
      <c r="C3" s="3" t="s">
        <v>157</v>
      </c>
      <c r="D3" s="6" t="s">
        <v>158</v>
      </c>
      <c r="E3" s="15" t="s">
        <v>148</v>
      </c>
    </row>
    <row r="4">
      <c r="A4" s="6" t="s">
        <v>159</v>
      </c>
      <c r="B4" s="6" t="s">
        <v>160</v>
      </c>
      <c r="C4" s="3" t="s">
        <v>161</v>
      </c>
      <c r="D4" s="6" t="s">
        <v>162</v>
      </c>
      <c r="E4" s="15" t="s">
        <v>148</v>
      </c>
    </row>
    <row r="5">
      <c r="A5" s="6" t="s">
        <v>165</v>
      </c>
      <c r="B5" s="6" t="s">
        <v>160</v>
      </c>
      <c r="C5" s="3" t="s">
        <v>169</v>
      </c>
      <c r="D5" s="6" t="s">
        <v>162</v>
      </c>
      <c r="E5" s="15" t="s">
        <v>148</v>
      </c>
    </row>
    <row r="6">
      <c r="A6" s="6" t="s">
        <v>171</v>
      </c>
      <c r="B6" s="6" t="s">
        <v>172</v>
      </c>
      <c r="C6" s="3" t="s">
        <v>173</v>
      </c>
      <c r="D6" s="6" t="s">
        <v>174</v>
      </c>
      <c r="E6" s="15" t="s">
        <v>148</v>
      </c>
    </row>
    <row r="7">
      <c r="A7" s="6" t="s">
        <v>175</v>
      </c>
      <c r="B7" s="6" t="s">
        <v>176</v>
      </c>
      <c r="C7" s="3" t="s">
        <v>177</v>
      </c>
      <c r="D7" s="6" t="s">
        <v>178</v>
      </c>
      <c r="E7" s="15" t="s">
        <v>179</v>
      </c>
    </row>
    <row r="8">
      <c r="A8" s="6" t="s">
        <v>175</v>
      </c>
      <c r="B8" s="6" t="s">
        <v>156</v>
      </c>
      <c r="C8" s="3" t="s">
        <v>184</v>
      </c>
      <c r="D8" s="6" t="s">
        <v>185</v>
      </c>
      <c r="E8" s="15" t="s">
        <v>148</v>
      </c>
    </row>
    <row r="9">
      <c r="A9" s="6" t="s">
        <v>187</v>
      </c>
      <c r="B9" s="6" t="s">
        <v>188</v>
      </c>
      <c r="C9" s="3" t="s">
        <v>189</v>
      </c>
      <c r="D9" s="6" t="s">
        <v>191</v>
      </c>
      <c r="E9" s="15" t="s">
        <v>148</v>
      </c>
    </row>
    <row r="10">
      <c r="A10" s="6" t="s">
        <v>192</v>
      </c>
      <c r="B10" s="6" t="s">
        <v>172</v>
      </c>
      <c r="C10" s="3" t="s">
        <v>193</v>
      </c>
      <c r="D10" s="6" t="s">
        <v>195</v>
      </c>
      <c r="E10" s="15" t="s">
        <v>148</v>
      </c>
    </row>
    <row r="11">
      <c r="A11" s="6" t="s">
        <v>197</v>
      </c>
      <c r="B11" s="6" t="s">
        <v>176</v>
      </c>
      <c r="C11" s="3" t="s">
        <v>198</v>
      </c>
      <c r="D11" s="6" t="s">
        <v>199</v>
      </c>
      <c r="E11" s="15" t="s">
        <v>179</v>
      </c>
    </row>
    <row r="12">
      <c r="A12" s="6" t="s">
        <v>197</v>
      </c>
      <c r="B12" s="6" t="s">
        <v>200</v>
      </c>
      <c r="C12" s="3" t="s">
        <v>201</v>
      </c>
      <c r="D12" s="6" t="s">
        <v>202</v>
      </c>
      <c r="E12" s="15" t="s">
        <v>148</v>
      </c>
    </row>
    <row r="13">
      <c r="A13" s="6" t="s">
        <v>203</v>
      </c>
      <c r="B13" s="6" t="s">
        <v>204</v>
      </c>
      <c r="C13" s="3" t="s">
        <v>205</v>
      </c>
      <c r="D13" s="6" t="s">
        <v>206</v>
      </c>
      <c r="E13" s="15" t="s">
        <v>148</v>
      </c>
    </row>
    <row r="15">
      <c r="A15" s="3" t="s">
        <v>208</v>
      </c>
      <c r="E15" s="15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5"/>
  </hyperlinks>
  <printOptions/>
  <pageMargins bottom="1.0" footer="0.0" header="0.0" left="0.75" right="0.75" top="1.0"/>
  <pageSetup orientation="landscape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0"/>
    <col customWidth="1" min="2" max="2" width="50.0"/>
    <col customWidth="1" min="3" max="3" width="12.0"/>
    <col customWidth="1" min="4" max="26" width="8.71"/>
  </cols>
  <sheetData>
    <row r="1">
      <c r="A1" s="4" t="s">
        <v>149</v>
      </c>
      <c r="B1" s="4" t="s">
        <v>151</v>
      </c>
      <c r="C1" s="4" t="s">
        <v>29</v>
      </c>
    </row>
    <row r="2">
      <c r="A2" s="32" t="s">
        <v>155</v>
      </c>
      <c r="B2" s="33"/>
      <c r="C2" s="34"/>
    </row>
    <row r="3">
      <c r="A3" s="6" t="s">
        <v>163</v>
      </c>
      <c r="B3" s="3" t="s">
        <v>166</v>
      </c>
      <c r="C3" s="15" t="s">
        <v>168</v>
      </c>
    </row>
    <row r="4">
      <c r="A4" s="6" t="s">
        <v>180</v>
      </c>
      <c r="B4" s="3" t="s">
        <v>181</v>
      </c>
    </row>
    <row r="5">
      <c r="A5" s="6" t="s">
        <v>182</v>
      </c>
      <c r="B5" s="3" t="s">
        <v>183</v>
      </c>
      <c r="C5" s="15" t="s">
        <v>168</v>
      </c>
    </row>
    <row r="6">
      <c r="A6" s="6" t="s">
        <v>194</v>
      </c>
      <c r="B6" s="3" t="s">
        <v>196</v>
      </c>
      <c r="C6" s="15" t="s">
        <v>168</v>
      </c>
    </row>
    <row r="7">
      <c r="A7" s="6" t="s">
        <v>210</v>
      </c>
      <c r="B7" s="3" t="s">
        <v>211</v>
      </c>
      <c r="C7" s="15" t="s">
        <v>168</v>
      </c>
    </row>
    <row r="8">
      <c r="B8" s="3"/>
    </row>
    <row r="9">
      <c r="A9" s="32" t="s">
        <v>217</v>
      </c>
      <c r="B9" s="33"/>
      <c r="C9" s="34"/>
    </row>
    <row r="10">
      <c r="A10" s="6" t="s">
        <v>218</v>
      </c>
      <c r="B10" s="3" t="s">
        <v>219</v>
      </c>
      <c r="C10" s="15" t="s">
        <v>168</v>
      </c>
    </row>
    <row r="11">
      <c r="A11" s="6" t="s">
        <v>220</v>
      </c>
      <c r="B11" s="3" t="s">
        <v>221</v>
      </c>
      <c r="C11" s="15" t="s">
        <v>168</v>
      </c>
    </row>
    <row r="12">
      <c r="A12" s="6" t="s">
        <v>222</v>
      </c>
      <c r="B12" s="3" t="s">
        <v>223</v>
      </c>
      <c r="C12" s="15" t="s">
        <v>168</v>
      </c>
    </row>
    <row r="13">
      <c r="A13" s="6" t="s">
        <v>227</v>
      </c>
      <c r="B13" s="3" t="s">
        <v>228</v>
      </c>
      <c r="C13" s="15" t="s">
        <v>168</v>
      </c>
    </row>
    <row r="14">
      <c r="A14" s="6" t="s">
        <v>231</v>
      </c>
      <c r="B14" s="3" t="s">
        <v>232</v>
      </c>
      <c r="C14" s="15" t="s">
        <v>168</v>
      </c>
    </row>
    <row r="15">
      <c r="A15" s="6" t="s">
        <v>237</v>
      </c>
      <c r="B15" s="3" t="s">
        <v>238</v>
      </c>
      <c r="C15" s="15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  <hyperlink r:id="rId2" ref="C5"/>
    <hyperlink r:id="rId3" ref="C6"/>
    <hyperlink r:id="rId4" ref="C7"/>
    <hyperlink r:id="rId5" ref="C10"/>
    <hyperlink r:id="rId6" ref="C11"/>
    <hyperlink r:id="rId7" ref="C12"/>
    <hyperlink r:id="rId8" ref="C13"/>
    <hyperlink r:id="rId9" ref="C14"/>
    <hyperlink r:id="rId10" ref="C15"/>
  </hyperlinks>
  <printOptions/>
  <pageMargins bottom="1.0" footer="0.0" header="0.0" left="0.75" right="0.75" top="1.0"/>
  <pageSetup orientation="landscape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40.0"/>
    <col customWidth="1" min="4" max="4" width="24.0"/>
    <col customWidth="1" min="5" max="5" width="13.0"/>
    <col customWidth="1" min="6" max="6" width="16.0"/>
    <col customWidth="1" min="7" max="26" width="8.71"/>
  </cols>
  <sheetData>
    <row r="1">
      <c r="A1" s="4" t="s">
        <v>258</v>
      </c>
      <c r="B1" s="4" t="s">
        <v>259</v>
      </c>
      <c r="C1" s="4" t="s">
        <v>260</v>
      </c>
      <c r="D1" s="4" t="s">
        <v>262</v>
      </c>
      <c r="E1" s="4" t="s">
        <v>263</v>
      </c>
      <c r="F1" s="4" t="s">
        <v>264</v>
      </c>
    </row>
    <row r="2" ht="30.0" customHeight="1">
      <c r="A2" s="35" t="s">
        <v>267</v>
      </c>
      <c r="B2" s="18" t="s">
        <v>268</v>
      </c>
      <c r="C2" s="18" t="s">
        <v>270</v>
      </c>
      <c r="D2" s="26" t="s">
        <v>272</v>
      </c>
      <c r="E2" s="18" t="s">
        <v>281</v>
      </c>
      <c r="F2" s="26" t="s">
        <v>282</v>
      </c>
    </row>
    <row r="3" ht="30.0" customHeight="1">
      <c r="A3" s="36" t="s">
        <v>291</v>
      </c>
      <c r="B3" s="25" t="s">
        <v>292</v>
      </c>
      <c r="C3" s="25" t="s">
        <v>293</v>
      </c>
      <c r="D3" s="30" t="s">
        <v>294</v>
      </c>
      <c r="E3" s="25" t="s">
        <v>296</v>
      </c>
      <c r="F3" s="30" t="s">
        <v>282</v>
      </c>
    </row>
    <row r="4" ht="30.0" customHeight="1">
      <c r="A4" s="35" t="s">
        <v>301</v>
      </c>
      <c r="B4" s="18" t="s">
        <v>302</v>
      </c>
      <c r="C4" s="18" t="s">
        <v>303</v>
      </c>
      <c r="D4" s="26" t="s">
        <v>304</v>
      </c>
      <c r="E4" s="18" t="s">
        <v>309</v>
      </c>
      <c r="F4" s="26" t="s">
        <v>282</v>
      </c>
    </row>
    <row r="5" ht="30.0" customHeight="1">
      <c r="A5" s="36" t="s">
        <v>311</v>
      </c>
      <c r="B5" s="25" t="s">
        <v>312</v>
      </c>
      <c r="C5" s="25" t="s">
        <v>313</v>
      </c>
      <c r="D5" s="30" t="s">
        <v>314</v>
      </c>
      <c r="E5" s="25" t="s">
        <v>281</v>
      </c>
      <c r="F5" s="30" t="s">
        <v>282</v>
      </c>
    </row>
    <row r="6" ht="30.0" customHeight="1">
      <c r="A6" s="35" t="s">
        <v>317</v>
      </c>
      <c r="B6" s="18" t="s">
        <v>318</v>
      </c>
      <c r="C6" s="18" t="s">
        <v>319</v>
      </c>
      <c r="D6" s="26" t="s">
        <v>320</v>
      </c>
      <c r="E6" s="18" t="s">
        <v>281</v>
      </c>
      <c r="F6" s="26" t="s">
        <v>282</v>
      </c>
    </row>
    <row r="8">
      <c r="A8" s="3" t="s">
        <v>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F8"/>
  </mergeCells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</hyperlinks>
  <printOptions/>
  <pageMargins bottom="1.0" footer="0.0" header="0.0" left="0.75" right="0.75" top="1.0"/>
  <pageSetup orientation="landscape"/>
  <drawing r:id="rId11"/>
</worksheet>
</file>